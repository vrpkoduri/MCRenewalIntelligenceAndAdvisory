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eal Table" sheetId="2" state="visible" r:id="rId4"/>
    <sheet name="Merchant Gold Table" sheetId="3" state="visible" r:id="rId5"/>
    <sheet name="Event Log" sheetId="4" state="visible" r:id="rId6"/>
    <sheet name="Prediction Mapping" sheetId="5" state="visible" r:id="rId7"/>
    <sheet name="Offer Engine Integration" sheetId="6" state="visible" r:id="rId8"/>
    <sheet name="Book Health Metrics" sheetId="7" state="visible" r:id="rId9"/>
    <sheet name="Phase 1 Data Audit" sheetId="8" state="visible" r:id="rId10"/>
  </sheets>
  <definedNames>
    <definedName function="false" hidden="true" localSheetId="6" name="_xlnm._FilterDatabase" vbProcedure="false">'Book Health Metrics'!$A$4:$D$17</definedName>
    <definedName function="false" hidden="true" localSheetId="1" name="_xlnm._FilterDatabase" vbProcedure="false">'Deal Table'!$A$4:$I$28</definedName>
    <definedName function="false" hidden="true" localSheetId="3" name="_xlnm._FilterDatabase" vbProcedure="false">'Event Log'!$A$4:$D$13</definedName>
    <definedName function="false" hidden="true" localSheetId="2" name="_xlnm._FilterDatabase" vbProcedure="false">'Merchant Gold Table'!$A$4:$I$78</definedName>
    <definedName function="false" hidden="true" localSheetId="5" name="_xlnm._FilterDatabase" vbProcedure="false">'Offer Engine Integration'!$A$4:$D$15</definedName>
    <definedName function="false" hidden="true" localSheetId="7" name="_xlnm._FilterDatabase" vbProcedure="false">'Phase 1 Data Audit'!$A$4:$I$94</definedName>
    <definedName function="false" hidden="true" localSheetId="4" name="_xlnm._FilterDatabase" vbProcedure="false">'Prediction Mapping'!$A$4:$D$16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<sst xmlns="http://schemas.openxmlformats.org/spreadsheetml/2006/main" count="1380" uniqueCount="565">
  <si>
    <t xml:space="preserve">Morgan Cash — Gold-Table Data Contract</t>
  </si>
  <si>
    <t xml:space="preserve">The single source of truth for the rung engine, the floor, and the future merchant app. Version 1.0 (pre-data).</t>
  </si>
  <si>
    <t xml:space="preserve">Purpose</t>
  </si>
  <si>
    <t xml:space="preserve">This workbook defines the data contract every layer of the framework reads from and writes to. It is designed once for both audiences (floor reps and the future merchant app) and for the adopted open-source models (PyMC-Marketing, lifelines), so the schema is built once, not twice.</t>
  </si>
  <si>
    <t xml:space="preserve">Two grains</t>
  </si>
  <si>
    <t xml:space="preserve">The contract has two grains. The Deal table is one row per advance (the raw transaction log; feeds the amortization clock and the BTYD/survival models). The Merchant Gold table is one row per canonical merchant (the derived feature table; the actual contract the engine, floor, and app read).</t>
  </si>
  <si>
    <t xml:space="preserve">How to read the verdict</t>
  </si>
  <si>
    <t xml:space="preserve">Each field carries an availability verdict against today's reality, which drives the migration roadmap:</t>
  </si>
  <si>
    <t xml:space="preserve">  Have</t>
  </si>
  <si>
    <t xml:space="preserve">In Salesforce today; migrate directly.</t>
  </si>
  <si>
    <t xml:space="preserve">  Derive</t>
  </si>
  <si>
    <t xml:space="preserve">Computed from other fields (no new capture needed).</t>
  </si>
  <si>
    <t xml:space="preserve">  Must-capture</t>
  </si>
  <si>
    <t xml:space="preserve">Not reliably available today; requires new data capture or an estimate. These define the data-capture roadmap.</t>
  </si>
  <si>
    <t xml:space="preserve">  Future</t>
  </si>
  <si>
    <t xml:space="preserve">Merchant-app phase; not built now, but reserved in the schema so the app is a renderer, not a rebuild.</t>
  </si>
  <si>
    <t xml:space="preserve">  Reuse</t>
  </si>
  <si>
    <t xml:space="preserve">Already exists in Morgan Cash IP (funder-criteria dataset + routing engine); the Offer Engine plugs into it rather than rebuilding.</t>
  </si>
  <si>
    <t xml:space="preserve">Audience codes</t>
  </si>
  <si>
    <t xml:space="preserve">F = floor-only  ·  D = dual (floor + app)  ·  M = merchant-facing primary. Dual/merchant fields must be the SAME computed value as the floor sees — never recomputed differently.</t>
  </si>
  <si>
    <t xml:space="preserve">Compliance codes</t>
  </si>
  <si>
    <t xml:space="preserve">PII = personal data  ·  REG = regulated language / offer-trigger (gated by the compliance block)  ·  CONSENT = requires opt-in (SMS/email).</t>
  </si>
  <si>
    <t xml:space="preserve">Governing principle</t>
  </si>
  <si>
    <t xml:space="preserve">The Merchant Gold table is the one commitment expensive to change later; everything else is swappable. Get its grain right (per-merchant, point-in-time, fully-derived, keyed on canonical merchant identity) before any ETL.</t>
  </si>
  <si>
    <t xml:space="preserve">Static vs live (key)</t>
  </si>
  <si>
    <t xml:space="preserve">Salesforce captures the deal at FUNDING but does not keep it current. Ingest the static terms (amount, rate, payment, frequency, # payments, dates) and RECOMPUTE everything time-dependent daily (balance, paydown %, eligible date). Never surface SF's stored Remaining Balance / Percentage Paid / Estimated Renewal Date — they are frozen snapshots (one showed 100% paid on a defaulted deal). This live layer is the system's core value.</t>
  </si>
  <si>
    <t xml:space="preserve">Data quality (from real deals)</t>
  </si>
  <si>
    <t xml:space="preserve">Validated against four real funded deals. Stored Balance/% Paid were unreliable on ALL FOUR — recompute always. Field population is inconsistent: treat 0 and blank as MISSING where 0 is implausible (Months in Business, FICO, revenue), never as a real value. Prefer Business Start Date and derive months; flag contradictions. SF 'Type' reliably flags new/renewal/buyout. Renewal cadence is derivable from the Merchant→Opportunity chain + Field History timestamps.</t>
  </si>
  <si>
    <t xml:space="preserve">Field counts (Merchant Gold table)</t>
  </si>
  <si>
    <t xml:space="preserve">Have</t>
  </si>
  <si>
    <t xml:space="preserve">Derive</t>
  </si>
  <si>
    <t xml:space="preserve">Must-capture</t>
  </si>
  <si>
    <t xml:space="preserve">Reuse</t>
  </si>
  <si>
    <t xml:space="preserve">Future</t>
  </si>
  <si>
    <t xml:space="preserve">Deal Table (transaction grain)</t>
  </si>
  <si>
    <t xml:space="preserve">One row per advance. The raw transaction log behind the amortization clock and the BTYD / survival models.</t>
  </si>
  <si>
    <t xml:space="preserve">Field</t>
  </si>
  <si>
    <t xml:space="preserve">Type</t>
  </si>
  <si>
    <t xml:space="preserve">Grain / Key</t>
  </si>
  <si>
    <t xml:space="preserve">Source</t>
  </si>
  <si>
    <t xml:space="preserve">Verdict</t>
  </si>
  <si>
    <t xml:space="preserve">Audience</t>
  </si>
  <si>
    <t xml:space="preserve">Compliance</t>
  </si>
  <si>
    <t xml:space="preserve">Maps to (signal / model)</t>
  </si>
  <si>
    <t xml:space="preserve">Description</t>
  </si>
  <si>
    <t xml:space="preserve">deal_id</t>
  </si>
  <si>
    <t xml:space="preserve">string</t>
  </si>
  <si>
    <t xml:space="preserve">PK</t>
  </si>
  <si>
    <t xml:space="preserve">Salesforce: Opportunity Id</t>
  </si>
  <si>
    <t xml:space="preserve">F</t>
  </si>
  <si>
    <t xml:space="preserve">key</t>
  </si>
  <si>
    <t xml:space="preserve">Unique identifier for each advance.</t>
  </si>
  <si>
    <t xml:space="preserve">merchant_id</t>
  </si>
  <si>
    <t xml:space="preserve">FK → merchant</t>
  </si>
  <si>
    <t xml:space="preserve">Derived: identity resolution</t>
  </si>
  <si>
    <t xml:space="preserve">D</t>
  </si>
  <si>
    <t xml:space="preserve">PII</t>
  </si>
  <si>
    <t xml:space="preserve">key; links to Merchant Gold</t>
  </si>
  <si>
    <t xml:space="preserve">Canonical merchant this deal belongs to. The make-or-break join.</t>
  </si>
  <si>
    <t xml:space="preserve">funder</t>
  </si>
  <si>
    <t xml:space="preserve">attr</t>
  </si>
  <si>
    <t xml:space="preserve">Salesforce: Funder</t>
  </si>
  <si>
    <t xml:space="preserve">funder cohort</t>
  </si>
  <si>
    <t xml:space="preserve">Funding partner for this advance.</t>
  </si>
  <si>
    <t xml:space="preserve">iso_rep</t>
  </si>
  <si>
    <t xml:space="preserve">Salesforce: Owner</t>
  </si>
  <si>
    <t xml:space="preserve">ownership; play owner</t>
  </si>
  <si>
    <t xml:space="preserve">Rep who placed the deal.</t>
  </si>
  <si>
    <t xml:space="preserve">funded_date</t>
  </si>
  <si>
    <t xml:space="preserve">date</t>
  </si>
  <si>
    <t xml:space="preserve">Salesforce: Funded Date</t>
  </si>
  <si>
    <t xml:space="preserve">amortization clock; recency</t>
  </si>
  <si>
    <t xml:space="preserve">Date the advance was funded.</t>
  </si>
  <si>
    <t xml:space="preserve">funded_amount</t>
  </si>
  <si>
    <t xml:space="preserve">currency</t>
  </si>
  <si>
    <t xml:space="preserve">Salesforce: Funded Amount</t>
  </si>
  <si>
    <t xml:space="preserve">monetary; clock</t>
  </si>
  <si>
    <t xml:space="preserve">Gross advance amount.</t>
  </si>
  <si>
    <t xml:space="preserve">factor_rate</t>
  </si>
  <si>
    <t xml:space="preserve">decimal</t>
  </si>
  <si>
    <t xml:space="preserve">Salesforce: Rate</t>
  </si>
  <si>
    <t xml:space="preserve">REG</t>
  </si>
  <si>
    <t xml:space="preserve">factor-trend; cost</t>
  </si>
  <si>
    <t xml:space="preserve">Payback multiple (e.g. 1.459). Regulated when surfaced as cost.</t>
  </si>
  <si>
    <t xml:space="preserve">term_months</t>
  </si>
  <si>
    <t xml:space="preserve">int</t>
  </si>
  <si>
    <t xml:space="preserve">Derived from Number of Payments</t>
  </si>
  <si>
    <t xml:space="preserve">clock; survival duration</t>
  </si>
  <si>
    <t xml:space="preserve">Expected term; Number of Payments is captured, so derivable directly.</t>
  </si>
  <si>
    <t xml:space="preserve">num_payments</t>
  </si>
  <si>
    <t xml:space="preserve">Salesforce: Number of Payments</t>
  </si>
  <si>
    <t xml:space="preserve">clock</t>
  </si>
  <si>
    <t xml:space="preserve">Total scheduled payments (e.g. 50). Captured at funding.</t>
  </si>
  <si>
    <t xml:space="preserve">payment_frequency</t>
  </si>
  <si>
    <t xml:space="preserve">enum</t>
  </si>
  <si>
    <t xml:space="preserve">Salesforce: Frequency</t>
  </si>
  <si>
    <t xml:space="preserve">daily / weekly remittance cadence. Captured.</t>
  </si>
  <si>
    <t xml:space="preserve">payment_amount</t>
  </si>
  <si>
    <t xml:space="preserve">Salesforce: Payment Amount</t>
  </si>
  <si>
    <t xml:space="preserve">weekly-debit; burden</t>
  </si>
  <si>
    <t xml:space="preserve">Per-period remittance (e.g. $292). Captured — fixed-ACH.</t>
  </si>
  <si>
    <t xml:space="preserve">holdback_pct</t>
  </si>
  <si>
    <t xml:space="preserve">Salesforce (often blank)</t>
  </si>
  <si>
    <t xml:space="preserve">revenue estimate</t>
  </si>
  <si>
    <t xml:space="preserve">Split % if split-funded; deals are fixed-ACH in practice.</t>
  </si>
  <si>
    <t xml:space="preserve">total_payback</t>
  </si>
  <si>
    <t xml:space="preserve">Salesforce: Payback Amount</t>
  </si>
  <si>
    <t xml:space="preserve">cost; clock (RTR cross-check)</t>
  </si>
  <si>
    <t xml:space="preserve">SF computes amount×rate; use to cross-check our RTR.</t>
  </si>
  <si>
    <t xml:space="preserve">deal_type</t>
  </si>
  <si>
    <t xml:space="preserve">Salesforce: Type (new/renewal/buyout)</t>
  </si>
  <si>
    <t xml:space="preserve">archetype: renewal vs hop</t>
  </si>
  <si>
    <t xml:space="preserve">SF 'Type' captures new/renewal/buyout directly. Trust it for the flag.</t>
  </si>
  <si>
    <t xml:space="preserve">is_renewal_of</t>
  </si>
  <si>
    <t xml:space="preserve">FK → deal</t>
  </si>
  <si>
    <t xml:space="preserve">Derived: linkage from chain</t>
  </si>
  <si>
    <t xml:space="preserve">cadence; paydown-at-renewal</t>
  </si>
  <si>
    <t xml:space="preserve">WHICH prior deal this renews — derived from the Merchant→Opportunity chain + funding dates.</t>
  </si>
  <si>
    <t xml:space="preserve">disclosed_positions_cnt</t>
  </si>
  <si>
    <t xml:space="preserve">Salesforce: Position (static, non-mandatory)</t>
  </si>
  <si>
    <t xml:space="preserve">STACKER DETECTION (corroborating)</t>
  </si>
  <si>
    <t xml:space="preserve">Position field = count AT FUNDING; often blank. Use when present; absence → missing_signals, never 'zero'. True current count derived by counting active deals per merchant.</t>
  </si>
  <si>
    <t xml:space="preserve">fico</t>
  </si>
  <si>
    <t xml:space="preserve">Salesforce: FICO</t>
  </si>
  <si>
    <t xml:space="preserve">health; risk signal</t>
  </si>
  <si>
    <t xml:space="preserve">Principal FICO at funding (e.g. 520). Captured.</t>
  </si>
  <si>
    <t xml:space="preserve">months_in_business</t>
  </si>
  <si>
    <t xml:space="preserve">Salesforce: Months in Business</t>
  </si>
  <si>
    <t xml:space="preserve">tenure; risk</t>
  </si>
  <si>
    <t xml:space="preserve">Business age at funding (e.g. 56). Captured.</t>
  </si>
  <si>
    <t xml:space="preserve">disclosed_balance_total</t>
  </si>
  <si>
    <t xml:space="preserve">Salesforce: application/stips</t>
  </si>
  <si>
    <t xml:space="preserve">burden; stacker</t>
  </si>
  <si>
    <t xml:space="preserve">Sum of other disclosed balances at funding.</t>
  </si>
  <si>
    <t xml:space="preserve">net_funded</t>
  </si>
  <si>
    <t xml:space="preserve">Salesforce / derived</t>
  </si>
  <si>
    <t xml:space="preserve">net-trend (distress tell)</t>
  </si>
  <si>
    <t xml:space="preserve">Cash actually received after payoffs/holdbacks.</t>
  </si>
  <si>
    <t xml:space="preserve">governing_state</t>
  </si>
  <si>
    <t xml:space="preserve">Salesforce: business address</t>
  </si>
  <si>
    <t xml:space="preserve">compliance routing</t>
  </si>
  <si>
    <t xml:space="preserve">State whose disclosure rules govern this deal.</t>
  </si>
  <si>
    <t xml:space="preserve">prior_factor_rate</t>
  </si>
  <si>
    <t xml:space="preserve">derived</t>
  </si>
  <si>
    <t xml:space="preserve">Derived from is_renewal_of</t>
  </si>
  <si>
    <t xml:space="preserve">factor-trend (distress)</t>
  </si>
  <si>
    <t xml:space="preserve">Prior deal's factor; rising = distress signal.</t>
  </si>
  <si>
    <t xml:space="preserve">status</t>
  </si>
  <si>
    <t xml:space="preserve">Salesforce: Stage / servicing</t>
  </si>
  <si>
    <t xml:space="preserve">survival event; health</t>
  </si>
  <si>
    <t xml:space="preserve">active / paid / default / restructured.</t>
  </si>
  <si>
    <t xml:space="preserve">personal_guarantee</t>
  </si>
  <si>
    <t xml:space="preserve">bool</t>
  </si>
  <si>
    <t xml:space="preserve">Salesforce: contract</t>
  </si>
  <si>
    <t xml:space="preserve">risk; advisory</t>
  </si>
  <si>
    <t xml:space="preserve">Whether a personal guarantee was signed.</t>
  </si>
  <si>
    <t xml:space="preserve">Merchant Gold Table (merchant grain) — THE CONTRACT</t>
  </si>
  <si>
    <t xml:space="preserve">One row per canonical merchant. The single source of truth every layer reads. Grain: per-merchant, point-in-time, fully-derived.</t>
  </si>
  <si>
    <t xml:space="preserve">— Identity &amp; profile —</t>
  </si>
  <si>
    <t xml:space="preserve">Canonical merchant key. Everything hangs off this.</t>
  </si>
  <si>
    <t xml:space="preserve">business_name</t>
  </si>
  <si>
    <t xml:space="preserve">Salesforce</t>
  </si>
  <si>
    <t xml:space="preserve">M</t>
  </si>
  <si>
    <t xml:space="preserve">display</t>
  </si>
  <si>
    <t xml:space="preserve">Legal / DBA name.</t>
  </si>
  <si>
    <t xml:space="preserve">ein</t>
  </si>
  <si>
    <t xml:space="preserve">Salesforce / enrichment</t>
  </si>
  <si>
    <t xml:space="preserve">identity match</t>
  </si>
  <si>
    <t xml:space="preserve">Tax ID; strengthens repeat-merchant linkage.</t>
  </si>
  <si>
    <t xml:space="preserve">principal_name</t>
  </si>
  <si>
    <t xml:space="preserve">Owner / signer.</t>
  </si>
  <si>
    <t xml:space="preserve">Salesforce: address</t>
  </si>
  <si>
    <t xml:space="preserve">COMPLIANCE ROUTING</t>
  </si>
  <si>
    <t xml:space="preserve">Drives which disclosure rules and language apply.</t>
  </si>
  <si>
    <t xml:space="preserve">industry_vertical</t>
  </si>
  <si>
    <t xml:space="preserve">seasonality; demand timing</t>
  </si>
  <si>
    <t xml:space="preserve">Vertical, for seasonal demand timing.</t>
  </si>
  <si>
    <t xml:space="preserve">first_funded_date</t>
  </si>
  <si>
    <t xml:space="preserve">Derived: MIN(deal)</t>
  </si>
  <si>
    <t xml:space="preserve">tenure; survival origin</t>
  </si>
  <si>
    <t xml:space="preserve">First advance date across all deals.</t>
  </si>
  <si>
    <t xml:space="preserve">tenure_days</t>
  </si>
  <si>
    <t xml:space="preserve">Derived: today − first_funded</t>
  </si>
  <si>
    <t xml:space="preserve">loyalty; survival T</t>
  </si>
  <si>
    <t xml:space="preserve">Relationship age.</t>
  </si>
  <si>
    <t xml:space="preserve">— Position &amp; burden (the clock) —</t>
  </si>
  <si>
    <t xml:space="preserve">active_position_cnt</t>
  </si>
  <si>
    <t xml:space="preserve">Derived from Deal status</t>
  </si>
  <si>
    <t xml:space="preserve">RUNG: serial detection</t>
  </si>
  <si>
    <t xml:space="preserve">Concurrent open positions. ≥2 → serial candidate.</t>
  </si>
  <si>
    <t xml:space="preserve">total_weekly_debit</t>
  </si>
  <si>
    <t xml:space="preserve">Derived: Σ active payments</t>
  </si>
  <si>
    <t xml:space="preserve">RUNG: burden</t>
  </si>
  <si>
    <t xml:space="preserve">Sum of weekly remittances across positions.</t>
  </si>
  <si>
    <t xml:space="preserve">est_weekly_revenue</t>
  </si>
  <si>
    <t xml:space="preserve">Bank feed / holdback estimate</t>
  </si>
  <si>
    <t xml:space="preserve">RUNG: burden denominator</t>
  </si>
  <si>
    <t xml:space="preserve">Estimated weekly revenue. Bank feed if available, else estimated.</t>
  </si>
  <si>
    <t xml:space="preserve">burden_ratio</t>
  </si>
  <si>
    <t xml:space="preserve">Derived: debit ÷ revenue</t>
  </si>
  <si>
    <t xml:space="preserve">RUNG: distress threshold</t>
  </si>
  <si>
    <t xml:space="preserve">Debt-service load. &gt;25–30% → distress band.</t>
  </si>
  <si>
    <t xml:space="preserve">est_current_balance</t>
  </si>
  <si>
    <t xml:space="preserve">Amortization clock (NOT SF stored)</t>
  </si>
  <si>
    <t xml:space="preserve">clock; payoff</t>
  </si>
  <si>
    <t xml:space="preserve">Recomputed DAILY from static terms + today. SF 'Remaining Balance' is a frozen funding-moment snapshot — ignore the stored value.</t>
  </si>
  <si>
    <t xml:space="preserve">est_paydown_pct</t>
  </si>
  <si>
    <t xml:space="preserve">RUNG: eligibility</t>
  </si>
  <si>
    <t xml:space="preserve">Recomputed daily. SF 'Percentage Paid' is static-at-funding (showed 100% on a defaulted deal) — do not surface.</t>
  </si>
  <si>
    <t xml:space="preserve">est_renewal_eligible_date</t>
  </si>
  <si>
    <t xml:space="preserve">queue: approaching</t>
  </si>
  <si>
    <t xml:space="preserve">Recomputed daily. SF 'Estimated Renewal Date' is a frozen funding guess — replace, do not reuse.</t>
  </si>
  <si>
    <t xml:space="preserve">balance_source</t>
  </si>
  <si>
    <t xml:space="preserve">Amortization clock (Appendix A)</t>
  </si>
  <si>
    <t xml:space="preserve">honesty: actual vs estimated</t>
  </si>
  <si>
    <t xml:space="preserve">actual (servicing feed) / estimated (scheduled count). Weakest across positions. Softens advisory language and feeds Book Health coverage.</t>
  </si>
  <si>
    <t xml:space="preserve">— Behavioral / RFM (feeds models) —</t>
  </si>
  <si>
    <t xml:space="preserve">deal_count</t>
  </si>
  <si>
    <t xml:space="preserve">Derived: COUNT(deal)</t>
  </si>
  <si>
    <t xml:space="preserve">RFM frequency</t>
  </si>
  <si>
    <t xml:space="preserve">Total advances taken.</t>
  </si>
  <si>
    <t xml:space="preserve">renewal_count</t>
  </si>
  <si>
    <t xml:space="preserve">Derived: COUNT renewals</t>
  </si>
  <si>
    <t xml:space="preserve">cadence</t>
  </si>
  <si>
    <t xml:space="preserve">Number of renewals to date.</t>
  </si>
  <si>
    <t xml:space="preserve">last_deal_date</t>
  </si>
  <si>
    <t xml:space="preserve">Derived: MAX(funded_date)</t>
  </si>
  <si>
    <t xml:space="preserve">RFM recency</t>
  </si>
  <si>
    <t xml:space="preserve">Most recent advance.</t>
  </si>
  <si>
    <t xml:space="preserve">avg_paydown_at_renewal</t>
  </si>
  <si>
    <t xml:space="preserve">Derived across renewals</t>
  </si>
  <si>
    <t xml:space="preserve">RUNG: personal cadence</t>
  </si>
  <si>
    <t xml:space="preserve">The merchant's own renewal trigger point.</t>
  </si>
  <si>
    <t xml:space="preserve">days_to_renewal</t>
  </si>
  <si>
    <t xml:space="preserve">Derived: funding-date gaps</t>
  </si>
  <si>
    <t xml:space="preserve">cadence; rapid re-up signal</t>
  </si>
  <si>
    <t xml:space="preserve">Days between a deal and its renewal (from chain + Field History timestamps). Very short + upsizing = serial / early re-up flag.</t>
  </si>
  <si>
    <t xml:space="preserve">rapid_reup_flag</t>
  </si>
  <si>
    <t xml:space="preserve">Derived: days_to_renewal + paydown</t>
  </si>
  <si>
    <t xml:space="preserve">RUNG 2 + advisory trigger</t>
  </si>
  <si>
    <t xml:space="preserve">TRUE when renewed before meaningful paydown into a larger advance. Triggers renewal-vs-buyout advisory evaluation, not an auto-renewal.</t>
  </si>
  <si>
    <t xml:space="preserve">avg_interval_days</t>
  </si>
  <si>
    <t xml:space="preserve">Derived between deals</t>
  </si>
  <si>
    <t xml:space="preserve">cadence; survival</t>
  </si>
  <si>
    <t xml:space="preserve">Mean gap between advances.</t>
  </si>
  <si>
    <t xml:space="preserve">factor_trend</t>
  </si>
  <si>
    <t xml:space="preserve">Derived across deals</t>
  </si>
  <si>
    <t xml:space="preserve">RUNG: distress</t>
  </si>
  <si>
    <t xml:space="preserve">improving / flat / worsening cost over time.</t>
  </si>
  <si>
    <t xml:space="preserve">net_funded_trend</t>
  </si>
  <si>
    <t xml:space="preserve">Shrinking net cash per advance = distress.</t>
  </si>
  <si>
    <t xml:space="preserve">stress_event_cnt</t>
  </si>
  <si>
    <t xml:space="preserve">Bank/servicing feed</t>
  </si>
  <si>
    <t xml:space="preserve">RUNG: distress override</t>
  </si>
  <si>
    <t xml:space="preserve">NSF / missed / bounced count in trailing window.</t>
  </si>
  <si>
    <t xml:space="preserve">payment_health</t>
  </si>
  <si>
    <t xml:space="preserve">Derived from stress events</t>
  </si>
  <si>
    <t xml:space="preserve">RUNG: clean vs stressed</t>
  </si>
  <si>
    <t xml:space="preserve">clean / stressed — separates serial from distressed.</t>
  </si>
  <si>
    <t xml:space="preserve">— Prediction outputs (written by Block 3) —</t>
  </si>
  <si>
    <t xml:space="preserve">rfm_recency</t>
  </si>
  <si>
    <t xml:space="preserve">PyMC-Marketing input</t>
  </si>
  <si>
    <t xml:space="preserve">BTYD</t>
  </si>
  <si>
    <t xml:space="preserve">Time of last event since first — RFM.</t>
  </si>
  <si>
    <t xml:space="preserve">rfm_frequency</t>
  </si>
  <si>
    <t xml:space="preserve">Repeat event count — RFM.</t>
  </si>
  <si>
    <t xml:space="preserve">rfm_T</t>
  </si>
  <si>
    <t xml:space="preserve">Age of merchant (observation window).</t>
  </si>
  <si>
    <t xml:space="preserve">rfm_monetary</t>
  </si>
  <si>
    <t xml:space="preserve">Gamma-Gamma</t>
  </si>
  <si>
    <t xml:space="preserve">Average advance value.</t>
  </si>
  <si>
    <t xml:space="preserve">p_alive</t>
  </si>
  <si>
    <t xml:space="preserve">BG/NBD output</t>
  </si>
  <si>
    <t xml:space="preserve">defection risk</t>
  </si>
  <si>
    <t xml:space="preserve">Probability merchant is still 'active' with us.</t>
  </si>
  <si>
    <t xml:space="preserve">p_defection</t>
  </si>
  <si>
    <t xml:space="preserve">Derived: 1 − p_alive (adj.)</t>
  </si>
  <si>
    <t xml:space="preserve">RUNG: win-back trigger</t>
  </si>
  <si>
    <t xml:space="preserve">Probability they take next capital elsewhere.</t>
  </si>
  <si>
    <t xml:space="preserve">predicted_next_event_date</t>
  </si>
  <si>
    <t xml:space="preserve">Cox hazard / BTYD</t>
  </si>
  <si>
    <t xml:space="preserve">queue: in-market now</t>
  </si>
  <si>
    <t xml:space="preserve">Predicted next capital-event timing.</t>
  </si>
  <si>
    <t xml:space="preserve">predicted_clv</t>
  </si>
  <si>
    <t xml:space="preserve">PyMC-Marketing CLV (NPV)</t>
  </si>
  <si>
    <t xml:space="preserve">prioritization</t>
  </si>
  <si>
    <t xml:space="preserve">Net-present lifetime value estimate.</t>
  </si>
  <si>
    <t xml:space="preserve">prediction_confidence</t>
  </si>
  <si>
    <t xml:space="preserve">Bayesian posterior width</t>
  </si>
  <si>
    <t xml:space="preserve">honesty: soft vs firm</t>
  </si>
  <si>
    <t xml:space="preserve">Uncertainty band — governs how advice is framed.</t>
  </si>
  <si>
    <t xml:space="preserve">— Rung &amp; state (written by Block 3/4) —</t>
  </si>
  <si>
    <t xml:space="preserve">current_rung</t>
  </si>
  <si>
    <t xml:space="preserve">Rung engine (rules)</t>
  </si>
  <si>
    <t xml:space="preserve">RUNG</t>
  </si>
  <si>
    <t xml:space="preserve">1 distressed … 5 graduate / unclassified.</t>
  </si>
  <si>
    <t xml:space="preserve">lifecycle_state</t>
  </si>
  <si>
    <t xml:space="preserve">Lifecycle gate (Appendix B)</t>
  </si>
  <si>
    <t xml:space="preserve">STEP 0 gate</t>
  </si>
  <si>
    <t xml:space="preserve">active / new-establishing / dormant / defaulted. Determined before rung; routes win-back and exit cases off the active ladder.</t>
  </si>
  <si>
    <t xml:space="preserve">default_subtype</t>
  </si>
  <si>
    <t xml:space="preserve">Default sub-typing (audit-gated)</t>
  </si>
  <si>
    <t xml:space="preserve">default routing</t>
  </si>
  <si>
    <t xml:space="preserve">true-default → exit / early-payoff → win-back / restructured → impaired / unknown → do-not-fund+review. Detection gated on audit.</t>
  </si>
  <si>
    <t xml:space="preserve">median_renewal_gap_days</t>
  </si>
  <si>
    <t xml:space="preserve">Derived from chain / book fallback</t>
  </si>
  <si>
    <t xml:space="preserve">dormancy threshold</t>
  </si>
  <si>
    <t xml:space="preserve">Merchant's own median renewal gap; book-median used if no history. Dormant when idle &gt; 2× this.</t>
  </si>
  <si>
    <t xml:space="preserve">rung_confidence</t>
  </si>
  <si>
    <t xml:space="preserve">Rung engine</t>
  </si>
  <si>
    <t xml:space="preserve">classification quality</t>
  </si>
  <si>
    <t xml:space="preserve">Confidence in the rung assignment.</t>
  </si>
  <si>
    <t xml:space="preserve">missing_signals</t>
  </si>
  <si>
    <t xml:space="preserve">array</t>
  </si>
  <si>
    <t xml:space="preserve">DATA-CAPTURE ROADMAP</t>
  </si>
  <si>
    <t xml:space="preserve">Signals absent for confident classification.</t>
  </si>
  <si>
    <t xml:space="preserve">direction_of_travel</t>
  </si>
  <si>
    <t xml:space="preserve">Rung engine (vs prior)</t>
  </si>
  <si>
    <t xml:space="preserve">queue priority</t>
  </si>
  <si>
    <t xml:space="preserve">climbing / holding / sliding.</t>
  </si>
  <si>
    <t xml:space="preserve">target_rung</t>
  </si>
  <si>
    <t xml:space="preserve">development goal</t>
  </si>
  <si>
    <t xml:space="preserve">Where we are taking this merchant.</t>
  </si>
  <si>
    <t xml:space="preserve">current_state</t>
  </si>
  <si>
    <t xml:space="preserve">State machine</t>
  </si>
  <si>
    <t xml:space="preserve">queue</t>
  </si>
  <si>
    <t xml:space="preserve">clock-running / approaching / in-market / renewed / lost-winback.</t>
  </si>
  <si>
    <t xml:space="preserve">active_play</t>
  </si>
  <si>
    <t xml:space="preserve">floor action</t>
  </si>
  <si>
    <t xml:space="preserve">Named play (in-market / slide / win-back …).</t>
  </si>
  <si>
    <t xml:space="preserve">play_owner</t>
  </si>
  <si>
    <t xml:space="preserve">State machine → rep</t>
  </si>
  <si>
    <t xml:space="preserve">accountability</t>
  </si>
  <si>
    <t xml:space="preserve">Assigned rep for the active play.</t>
  </si>
  <si>
    <t xml:space="preserve">play_sla_due</t>
  </si>
  <si>
    <t xml:space="preserve">datetime</t>
  </si>
  <si>
    <t xml:space="preserve">SLA enforcement</t>
  </si>
  <si>
    <t xml:space="preserve">Response deadline for the play.</t>
  </si>
  <si>
    <t xml:space="preserve">next_tactical_action</t>
  </si>
  <si>
    <t xml:space="preserve">Engine</t>
  </si>
  <si>
    <t xml:space="preserve">floor script</t>
  </si>
  <si>
    <t xml:space="preserve">What to do this week.</t>
  </si>
  <si>
    <t xml:space="preserve">next_strategic_nudge</t>
  </si>
  <si>
    <t xml:space="preserve">climbing nudge</t>
  </si>
  <si>
    <t xml:space="preserve">The next rung-climbing advisory move.</t>
  </si>
  <si>
    <t xml:space="preserve">— Compliance &amp; consent —</t>
  </si>
  <si>
    <t xml:space="preserve">offer_vs_advice_flag</t>
  </si>
  <si>
    <t xml:space="preserve">Compliance block</t>
  </si>
  <si>
    <t xml:space="preserve">DISCLOSURE GATE</t>
  </si>
  <si>
    <t xml:space="preserve">Classifies last/next comms as advice vs specific offer.</t>
  </si>
  <si>
    <t xml:space="preserve">last_disclosure_sent</t>
  </si>
  <si>
    <t xml:space="preserve">audit</t>
  </si>
  <si>
    <t xml:space="preserve">When a required disclosure was last delivered.</t>
  </si>
  <si>
    <t xml:space="preserve">broker_reg_required</t>
  </si>
  <si>
    <t xml:space="preserve">Derived from state rules</t>
  </si>
  <si>
    <t xml:space="preserve">registration check</t>
  </si>
  <si>
    <t xml:space="preserve">Flags states needing broker registration.</t>
  </si>
  <si>
    <t xml:space="preserve">consent_sms</t>
  </si>
  <si>
    <t xml:space="preserve">Captured at opt-in</t>
  </si>
  <si>
    <t xml:space="preserve">CONSENT</t>
  </si>
  <si>
    <t xml:space="preserve">TCPA gate</t>
  </si>
  <si>
    <t xml:space="preserve">SMS contact consent.</t>
  </si>
  <si>
    <t xml:space="preserve">consent_email</t>
  </si>
  <si>
    <t xml:space="preserve">Captured at opt-in / SF 'Send Renewal Notices'</t>
  </si>
  <si>
    <t xml:space="preserve">email gate</t>
  </si>
  <si>
    <t xml:space="preserve">Email contact consent. SF 'Send Renewal Notices' flag repurposed as opt-out toggle; outreach LOGIC replaced by advisory engine.</t>
  </si>
  <si>
    <t xml:space="preserve">— Offer Engine outputs (written by Offer Engine; reuses routing IP) —</t>
  </si>
  <si>
    <t xml:space="preserve">eligible_offer_types</t>
  </si>
  <si>
    <t xml:space="preserve">Offer Engine (routing engine)</t>
  </si>
  <si>
    <t xml:space="preserve">what we can offer</t>
  </si>
  <si>
    <t xml:space="preserve">Offer types the merchant currently qualifies for: renewal / buyout / larger-advance / none-yet.</t>
  </si>
  <si>
    <t xml:space="preserve">best_offer_summary</t>
  </si>
  <si>
    <t xml:space="preserve">Offer Engine</t>
  </si>
  <si>
    <t xml:space="preserve">advisory artifact</t>
  </si>
  <si>
    <t xml:space="preserve">Plain-language best credible option + suitability note.</t>
  </si>
  <si>
    <t xml:space="preserve">matched_funders</t>
  </si>
  <si>
    <t xml:space="preserve">Offer Engine → funder criteria</t>
  </si>
  <si>
    <t xml:space="preserve">routing</t>
  </si>
  <si>
    <t xml:space="preserve">Funders whose current box this merchant fits.</t>
  </si>
  <si>
    <t xml:space="preserve">max_sustainable_advance</t>
  </si>
  <si>
    <t xml:space="preserve">Offer Engine + capacity</t>
  </si>
  <si>
    <t xml:space="preserve">capacity guidance</t>
  </si>
  <si>
    <t xml:space="preserve">Largest advance that keeps burden healthy — the honest ceiling.</t>
  </si>
  <si>
    <t xml:space="preserve">offer_refresh_date</t>
  </si>
  <si>
    <t xml:space="preserve">Offer Engine (scheduled run)</t>
  </si>
  <si>
    <t xml:space="preserve">tap-early cadence</t>
  </si>
  <si>
    <t xml:space="preserve">Last proactive eligibility scan against the book.</t>
  </si>
  <si>
    <t xml:space="preserve">— Advisory &amp; merchant-app (Future) —</t>
  </si>
  <si>
    <t xml:space="preserve">last_value_touch_date</t>
  </si>
  <si>
    <t xml:space="preserve">Event log</t>
  </si>
  <si>
    <t xml:space="preserve">value-to-ask ratio</t>
  </si>
  <si>
    <t xml:space="preserve">Last non-ask, useful touch.</t>
  </si>
  <si>
    <t xml:space="preserve">value_to_ask_ratio</t>
  </si>
  <si>
    <t xml:space="preserve">Derived from event log</t>
  </si>
  <si>
    <t xml:space="preserve">trust health</t>
  </si>
  <si>
    <t xml:space="preserve">Ratio of value touches to ask touches.</t>
  </si>
  <si>
    <t xml:space="preserve">last_position_statement</t>
  </si>
  <si>
    <t xml:space="preserve">When the merchant last received their position statement.</t>
  </si>
  <si>
    <t xml:space="preserve">app_enrolled</t>
  </si>
  <si>
    <t xml:space="preserve">Merchant app</t>
  </si>
  <si>
    <t xml:space="preserve">app</t>
  </si>
  <si>
    <t xml:space="preserve">Whether the merchant uses the app.</t>
  </si>
  <si>
    <t xml:space="preserve">app_last_login</t>
  </si>
  <si>
    <t xml:space="preserve">engagement</t>
  </si>
  <si>
    <t xml:space="preserve">Last self-serve session.</t>
  </si>
  <si>
    <t xml:space="preserve">linked_bank_feed</t>
  </si>
  <si>
    <t xml:space="preserve">data loop</t>
  </si>
  <si>
    <t xml:space="preserve">Whether merchant linked a bank feed (best revenue signal).</t>
  </si>
  <si>
    <t xml:space="preserve">Event Log (append-only)</t>
  </si>
  <si>
    <t xml:space="preserve">Every computation and every touch. Phase-6 learning data + regulatory audit trail + the app's future activity feed. Largely satisfied by Model Serving inference tables.</t>
  </si>
  <si>
    <t xml:space="preserve">event_id</t>
  </si>
  <si>
    <t xml:space="preserve">System</t>
  </si>
  <si>
    <t xml:space="preserve">PK.</t>
  </si>
  <si>
    <t xml:space="preserve">FK</t>
  </si>
  <si>
    <t xml:space="preserve">Canonical merchant.</t>
  </si>
  <si>
    <t xml:space="preserve">event_type</t>
  </si>
  <si>
    <t xml:space="preserve">rung_computed / prediction / touch_sent / reply / disclosure_sent / rung_transition / play_fired.</t>
  </si>
  <si>
    <t xml:space="preserve">event_timestamp</t>
  </si>
  <si>
    <t xml:space="preserve">When it happened.</t>
  </si>
  <si>
    <t xml:space="preserve">channel</t>
  </si>
  <si>
    <t xml:space="preserve">email / sms / app / call (for touches).</t>
  </si>
  <si>
    <t xml:space="preserve">payload</t>
  </si>
  <si>
    <t xml:space="preserve">json</t>
  </si>
  <si>
    <t xml:space="preserve">Structured detail (old_rung→new_rung, model inputs/outputs, artifact id).</t>
  </si>
  <si>
    <t xml:space="preserve">offer_vs_advice</t>
  </si>
  <si>
    <t xml:space="preserve">For touches: classified advice vs offer (regulatory).</t>
  </si>
  <si>
    <t xml:space="preserve">actor</t>
  </si>
  <si>
    <t xml:space="preserve">Rep, system job, or merchant (app).</t>
  </si>
  <si>
    <t xml:space="preserve">model_version</t>
  </si>
  <si>
    <t xml:space="preserve">MLflow</t>
  </si>
  <si>
    <t xml:space="preserve">Model/ruleset version — reproducibility &amp; audit.</t>
  </si>
  <si>
    <t xml:space="preserve">Prediction Mapping — contract → adopted models</t>
  </si>
  <si>
    <t xml:space="preserve">How the gold-table fields feed PyMC-Marketing (BTYD/CLV) and lifelines (survival). Built once so the schema serves the models natively.</t>
  </si>
  <si>
    <t xml:space="preserve">Model / library</t>
  </si>
  <si>
    <t xml:space="preserve">Expected input</t>
  </si>
  <si>
    <t xml:space="preserve">Gold-table field</t>
  </si>
  <si>
    <t xml:space="preserve">Notes</t>
  </si>
  <si>
    <t xml:space="preserve">PyMC-Marketing (BG/NBD)</t>
  </si>
  <si>
    <t xml:space="preserve">customer_id</t>
  </si>
  <si>
    <t xml:space="preserve">One row per canonical merchant.</t>
  </si>
  <si>
    <t xml:space="preserve">frequency</t>
  </si>
  <si>
    <t xml:space="preserve">Repeat-advance count.</t>
  </si>
  <si>
    <t xml:space="preserve">recency</t>
  </si>
  <si>
    <t xml:space="preserve">Time of last advance since first.</t>
  </si>
  <si>
    <t xml:space="preserve">T</t>
  </si>
  <si>
    <t xml:space="preserve">Observation-window age.</t>
  </si>
  <si>
    <t xml:space="preserve">PyMC-Marketing (Gamma-Gamma)</t>
  </si>
  <si>
    <t xml:space="preserve">monetary_value</t>
  </si>
  <si>
    <t xml:space="preserve">PyMC-Marketing (CLV)</t>
  </si>
  <si>
    <t xml:space="preserve">future_t, discount_rate</t>
  </si>
  <si>
    <t xml:space="preserve">NPV horizon + discount rate as config.</t>
  </si>
  <si>
    <t xml:space="preserve">PyMC-Marketing output</t>
  </si>
  <si>
    <t xml:space="preserve">Probability still active → defection risk.</t>
  </si>
  <si>
    <t xml:space="preserve">lifelines (Cox PH)</t>
  </si>
  <si>
    <t xml:space="preserve">duration</t>
  </si>
  <si>
    <t xml:space="preserve">tenure_days / avg_interval_days</t>
  </si>
  <si>
    <t xml:space="preserve">Time to event (next advance).</t>
  </si>
  <si>
    <t xml:space="preserve">event_observed</t>
  </si>
  <si>
    <t xml:space="preserve">status / next event</t>
  </si>
  <si>
    <t xml:space="preserve">1 if renewed/took capital, 0 if censored (not yet).</t>
  </si>
  <si>
    <t xml:space="preserve">covariates</t>
  </si>
  <si>
    <t xml:space="preserve">burden_ratio, factor_trend, active_position_cnt, payment_health, industry_vertical</t>
  </si>
  <si>
    <t xml:space="preserve">Risk factors relating to timing.</t>
  </si>
  <si>
    <t xml:space="preserve">lifelines (Kaplan-Meier)</t>
  </si>
  <si>
    <t xml:space="preserve">duration, event</t>
  </si>
  <si>
    <t xml:space="preserve">tenure_days, status</t>
  </si>
  <si>
    <t xml:space="preserve">Baseline survival curve per cohort/rung.</t>
  </si>
  <si>
    <t xml:space="preserve">Multi-state model</t>
  </si>
  <si>
    <t xml:space="preserve">state, transition_time</t>
  </si>
  <si>
    <t xml:space="preserve">current_rung history (Event Log)</t>
  </si>
  <si>
    <t xml:space="preserve">Rung transitions as a Markov/semi-Markov process.</t>
  </si>
  <si>
    <t xml:space="preserve">Offer Engine — integration with existing routing IP</t>
  </si>
  <si>
    <t xml:space="preserve">The Offer Engine is NOT new construction. It reuses the existing funder-criteria dataset and routing engine, run proactively against the book. This sheet defines only the integration points — the existing dataset's own schema is unchanged.</t>
  </si>
  <si>
    <t xml:space="preserve">Direction</t>
  </si>
  <si>
    <t xml:space="preserve">Item</t>
  </si>
  <si>
    <t xml:space="preserve">From / To</t>
  </si>
  <si>
    <t xml:space="preserve">READS</t>
  </si>
  <si>
    <t xml:space="preserve">Merchant profile</t>
  </si>
  <si>
    <t xml:space="preserve">Merchant Gold Table</t>
  </si>
  <si>
    <t xml:space="preserve">vertical, tenure_days, est_weekly_revenue, active_position_cnt, payment_health.</t>
  </si>
  <si>
    <t xml:space="preserve">Computed eligibility</t>
  </si>
  <si>
    <t xml:space="preserve">est_paydown_pct, est_current_balance, max_sustainable_advance (capacity headroom).</t>
  </si>
  <si>
    <t xml:space="preserve">Funder criteria / box</t>
  </si>
  <si>
    <t xml:space="preserve">EXISTING funder-criteria dataset</t>
  </si>
  <si>
    <t xml:space="preserve">Reused as-is. Each funder's accept rules (vertical, TIB, revenue, position limits, state, size band).</t>
  </si>
  <si>
    <t xml:space="preserve">USES</t>
  </si>
  <si>
    <t xml:space="preserve">Matching logic</t>
  </si>
  <si>
    <t xml:space="preserve">EXISTING routing engine</t>
  </si>
  <si>
    <t xml:space="preserve">Same logic as new-deal routing — invoked proactively on a schedule against the funded book.</t>
  </si>
  <si>
    <t xml:space="preserve">WRITES</t>
  </si>
  <si>
    <t xml:space="preserve">renewal / buyout / larger-advance / none-yet.</t>
  </si>
  <si>
    <t xml:space="preserve">Funders whose current box the merchant fits.</t>
  </si>
  <si>
    <t xml:space="preserve">Plain-language best credible option (drafted by presentation layer).</t>
  </si>
  <si>
    <t xml:space="preserve">Timestamp of the proactive scan — the 'tap-early' cadence marker.</t>
  </si>
  <si>
    <t xml:space="preserve">GATED BY</t>
  </si>
  <si>
    <t xml:space="preserve">Advisory suitability</t>
  </si>
  <si>
    <t xml:space="preserve">Advisory layer</t>
  </si>
  <si>
    <t xml:space="preserve">A matchable offer (e.g. buyout) may still be unsuitable (double-dip) — advisory decides whether to surface it.</t>
  </si>
  <si>
    <t xml:space="preserve">Advice vs specific-offer classification; state disclosure + regulated language before any offer goes out.</t>
  </si>
  <si>
    <t xml:space="preserve">CADENCE</t>
  </si>
  <si>
    <t xml:space="preserve">Proactive run</t>
  </si>
  <si>
    <t xml:space="preserve">State machine schedule</t>
  </si>
  <si>
    <t xml:space="preserve">Engine runs across the book on a cadence so newly-eligible merchants are caught before competitors.</t>
  </si>
  <si>
    <t xml:space="preserve">Portfolio Analytics / Book Health — metric definitions</t>
  </si>
  <si>
    <t xml:space="preserve">The management scoreboard. Aggregations over the Merchant Gold table + rung-transition history (Event Log). A read-only consumer; trends over time.</t>
  </si>
  <si>
    <t xml:space="preserve">View</t>
  </si>
  <si>
    <t xml:space="preserve">Metric</t>
  </si>
  <si>
    <t xml:space="preserve">Definition</t>
  </si>
  <si>
    <t xml:space="preserve">Book health</t>
  </si>
  <si>
    <t xml:space="preserve">Rung distribution</t>
  </si>
  <si>
    <t xml:space="preserve">Count / % of book on each rung, this period</t>
  </si>
  <si>
    <t xml:space="preserve">current_rung (Gold)</t>
  </si>
  <si>
    <t xml:space="preserve">Rung drift</t>
  </si>
  <si>
    <t xml:space="preserve">Net up vs down rung-moves over time</t>
  </si>
  <si>
    <t xml:space="preserve">Event Log: rung_transition</t>
  </si>
  <si>
    <t xml:space="preserve">Renewal capture rate</t>
  </si>
  <si>
    <t xml:space="preserve">Eligible merchants retained ÷ eligible merchants</t>
  </si>
  <si>
    <t xml:space="preserve">current_state, status (Gold)</t>
  </si>
  <si>
    <t xml:space="preserve">Defection rate + destination</t>
  </si>
  <si>
    <t xml:space="preserve">Merchants lost, and to where if known</t>
  </si>
  <si>
    <t xml:space="preserve">status, p_defection (Gold)</t>
  </si>
  <si>
    <t xml:space="preserve">Default / restructure trend</t>
  </si>
  <si>
    <t xml:space="preserve">Default &amp; restructure counts over time</t>
  </si>
  <si>
    <t xml:space="preserve">status (Deal/Gold)</t>
  </si>
  <si>
    <t xml:space="preserve">Aggregate book LTV</t>
  </si>
  <si>
    <t xml:space="preserve">Sum of predicted_clv, trended</t>
  </si>
  <si>
    <t xml:space="preserve">predicted_clv (Gold)</t>
  </si>
  <si>
    <t xml:space="preserve">Renewal perf.</t>
  </si>
  <si>
    <t xml:space="preserve">Time-to-contact</t>
  </si>
  <si>
    <t xml:space="preserve">Days from window-open to first touch</t>
  </si>
  <si>
    <t xml:space="preserve">Event Log: state → touch</t>
  </si>
  <si>
    <t xml:space="preserve">Play-SLA adherence</t>
  </si>
  <si>
    <t xml:space="preserve">% plays actioned within SLA</t>
  </si>
  <si>
    <t xml:space="preserve">play_sla_due vs touch (Event Log)</t>
  </si>
  <si>
    <t xml:space="preserve">Value-to-ask ratio</t>
  </si>
  <si>
    <t xml:space="preserve">Value touches ÷ ask touches, book-wide</t>
  </si>
  <si>
    <t xml:space="preserve">value_to_ask_ratio (Gold)</t>
  </si>
  <si>
    <t xml:space="preserve">Offer acceptance</t>
  </si>
  <si>
    <t xml:space="preserve">Accepted ÷ offered, by rung and funder</t>
  </si>
  <si>
    <t xml:space="preserve">eligible_offer_types, status</t>
  </si>
  <si>
    <t xml:space="preserve">Leading ind.</t>
  </si>
  <si>
    <t xml:space="preserve">Sliding count</t>
  </si>
  <si>
    <t xml:space="preserve">Merchants with direction = sliding</t>
  </si>
  <si>
    <t xml:space="preserve">direction_of_travel (Gold)</t>
  </si>
  <si>
    <t xml:space="preserve">Approaching pipeline</t>
  </si>
  <si>
    <t xml:space="preserve">Merchants entering eligibility next period</t>
  </si>
  <si>
    <t xml:space="preserve">est_renewal_eligible_date (Gold)</t>
  </si>
  <si>
    <t xml:space="preserve">Concentration risk</t>
  </si>
  <si>
    <t xml:space="preserve">Book share by funder / vertical / rung</t>
  </si>
  <si>
    <t xml:space="preserve">matched_funders, vertical, rung</t>
  </si>
  <si>
    <t xml:space="preserve">Phase 1 Data Audit — the gate before Claude Code</t>
  </si>
  <si>
    <t xml:space="preserve">Mark each source field against the LIVE Salesforce instance. Filter Priority = 'Locate (gap)' first. Derived fields work automatically IF their inputs exist, so verifying the raw inputs below is the whole gate.</t>
  </si>
  <si>
    <t xml:space="preserve">Priority</t>
  </si>
  <si>
    <t xml:space="preserve">Exists in SF? (Y/N/Partial)</t>
  </si>
  <si>
    <t xml:space="preserve">SF object.field</t>
  </si>
  <si>
    <t xml:space="preserve">Data quality (Good/Sparse/Poor)</t>
  </si>
  <si>
    <t xml:space="preserve">Resolution / action</t>
  </si>
  <si>
    <t xml:space="preserve">Owner</t>
  </si>
  <si>
    <t xml:space="preserve">Deal</t>
  </si>
  <si>
    <t xml:space="preserve">Locate (gap)</t>
  </si>
  <si>
    <t xml:space="preserve">Merchant</t>
  </si>
  <si>
    <t xml:space="preserve">Verify</t>
  </si>
  <si>
    <t xml:space="preserve">Confirm reuse</t>
  </si>
  <si>
    <t xml:space="preserve">Derived (auto)</t>
  </si>
  <si>
    <t xml:space="preserve">Future (skip)</t>
  </si>
</sst>
</file>

<file path=xl/styles.xml><?xml version="1.0" encoding="utf-8"?>
<styleSheet xmlns="http://schemas.openxmlformats.org/spreadsheetml/2006/main">
  <numFmts count="2">
    <numFmt numFmtId="164" formatCode="General"/>
    <numFmt numFmtId="165" formatCode="General"/>
  </numFmts>
  <fonts count="24">
    <font>
      <sz val="11"/>
      <color theme="1"/>
      <name val="Calibri"/>
      <family val="2"/>
      <charset val="1"/>
    </font>
    <font>
      <sz val="10"/>
      <name val="Arial"/>
      <family val="0"/>
    </font>
    <font>
      <sz val="10"/>
      <name val="Arial"/>
      <family val="0"/>
    </font>
    <font>
      <sz val="10"/>
      <name val="Arial"/>
      <family val="0"/>
    </font>
    <font>
      <b val="true"/>
      <sz val="16"/>
      <color rgb="FF0F5132"/>
      <name val="Arial"/>
      <family val="0"/>
      <charset val="1"/>
    </font>
    <font>
      <i val="true"/>
      <sz val="10"/>
      <color rgb="FF595959"/>
      <name val="Arial"/>
      <family val="0"/>
      <charset val="1"/>
    </font>
    <font>
      <b val="true"/>
      <sz val="10"/>
      <color rgb="FF1B6E55"/>
      <name val="Arial"/>
      <family val="0"/>
      <charset val="1"/>
    </font>
    <font>
      <sz val="10"/>
      <color rgb="FF1A1A1A"/>
      <name val="Arial"/>
      <family val="0"/>
      <charset val="1"/>
    </font>
    <font>
      <b val="true"/>
      <sz val="11"/>
      <color rgb="FF0F5132"/>
      <name val="Arial"/>
      <family val="0"/>
      <charset val="1"/>
    </font>
    <font>
      <b val="true"/>
      <sz val="10"/>
      <color rgb="FF375623"/>
      <name val="Arial"/>
      <family val="0"/>
      <charset val="1"/>
    </font>
    <font>
      <sz val="10"/>
      <name val="Arial"/>
      <family val="0"/>
      <charset val="1"/>
    </font>
    <font>
      <b val="true"/>
      <sz val="10"/>
      <color rgb="FF7F6000"/>
      <name val="Arial"/>
      <family val="0"/>
      <charset val="1"/>
    </font>
    <font>
      <b val="true"/>
      <sz val="10"/>
      <color rgb="FF843C0C"/>
      <name val="Arial"/>
      <family val="0"/>
      <charset val="1"/>
    </font>
    <font>
      <b val="true"/>
      <sz val="10"/>
      <color rgb="FF1F4E79"/>
      <name val="Arial"/>
      <family val="0"/>
      <charset val="1"/>
    </font>
    <font>
      <b val="true"/>
      <sz val="10"/>
      <color rgb="FF595959"/>
      <name val="Arial"/>
      <family val="0"/>
      <charset val="1"/>
    </font>
    <font>
      <b val="true"/>
      <sz val="10"/>
      <color rgb="FFFFFFFF"/>
      <name val="Arial"/>
      <family val="0"/>
      <charset val="1"/>
    </font>
    <font>
      <sz val="9.5"/>
      <color rgb="FF1A1A1A"/>
      <name val="Arial"/>
      <family val="0"/>
      <charset val="1"/>
    </font>
    <font>
      <b val="true"/>
      <sz val="9.5"/>
      <color rgb="FF375623"/>
      <name val="Arial"/>
      <family val="0"/>
      <charset val="1"/>
    </font>
    <font>
      <b val="true"/>
      <sz val="9.5"/>
      <color rgb="FF7F6000"/>
      <name val="Arial"/>
      <family val="0"/>
      <charset val="1"/>
    </font>
    <font>
      <b val="true"/>
      <sz val="9.5"/>
      <color rgb="FF843C0C"/>
      <name val="Arial"/>
      <family val="0"/>
      <charset val="1"/>
    </font>
    <font>
      <b val="true"/>
      <sz val="10"/>
      <color rgb="FFB8860B"/>
      <name val="Arial"/>
      <family val="0"/>
      <charset val="1"/>
    </font>
    <font>
      <b val="true"/>
      <sz val="9.5"/>
      <color rgb="FF1F4E79"/>
      <name val="Arial"/>
      <family val="0"/>
      <charset val="1"/>
    </font>
    <font>
      <b val="true"/>
      <sz val="9.5"/>
      <color rgb="FF595959"/>
      <name val="Arial"/>
      <family val="0"/>
      <charset val="1"/>
    </font>
    <font>
      <b val="true"/>
      <sz val="9.5"/>
      <color rgb="FF1A1A1A"/>
      <name val="Arial"/>
      <family val="0"/>
      <charset val="1"/>
    </font>
  </fonts>
  <fills count="16">
    <fill>
      <patternFill patternType="none"/>
    </fill>
    <fill>
      <patternFill patternType="gray125"/>
    </fill>
    <fill>
      <patternFill patternType="solid">
        <fgColor rgb="FFC6E0B4"/>
        <bgColor rgb="FFD9D9D9"/>
      </patternFill>
    </fill>
    <fill>
      <patternFill patternType="solid">
        <fgColor rgb="FFFFE699"/>
        <bgColor rgb="FFFFF2CC"/>
      </patternFill>
    </fill>
    <fill>
      <patternFill patternType="solid">
        <fgColor rgb="FFF8CBAD"/>
        <bgColor rgb="FFFFE699"/>
      </patternFill>
    </fill>
    <fill>
      <patternFill patternType="solid">
        <fgColor rgb="FFBDD7EE"/>
        <bgColor rgb="FFCCCCCC"/>
      </patternFill>
    </fill>
    <fill>
      <patternFill patternType="solid">
        <fgColor rgb="FFD9D9D9"/>
        <bgColor rgb="FFCCCCCC"/>
      </patternFill>
    </fill>
    <fill>
      <patternFill patternType="solid">
        <fgColor rgb="FF0F5132"/>
        <bgColor rgb="FF375623"/>
      </patternFill>
    </fill>
    <fill>
      <patternFill patternType="solid">
        <fgColor rgb="FFE3EFE9"/>
        <bgColor rgb="FFE2EFDA"/>
      </patternFill>
    </fill>
    <fill>
      <patternFill patternType="solid">
        <fgColor rgb="FFFBF6E7"/>
        <bgColor rgb="FFFFFDF5"/>
      </patternFill>
    </fill>
    <fill>
      <patternFill patternType="solid">
        <fgColor rgb="FFE2EFDA"/>
        <bgColor rgb="FFE3EFE9"/>
      </patternFill>
    </fill>
    <fill>
      <patternFill patternType="solid">
        <fgColor rgb="FFDDEBF7"/>
        <bgColor rgb="FFE3EFE9"/>
      </patternFill>
    </fill>
    <fill>
      <patternFill patternType="solid">
        <fgColor rgb="FFFCE4D6"/>
        <bgColor rgb="FFFFF2CC"/>
      </patternFill>
    </fill>
    <fill>
      <patternFill patternType="solid">
        <fgColor rgb="FFFFF2CC"/>
        <bgColor rgb="FFFBF6E7"/>
      </patternFill>
    </fill>
    <fill>
      <patternFill patternType="solid">
        <fgColor rgb="FFEDEDED"/>
        <bgColor rgb="FFE3EFE9"/>
      </patternFill>
    </fill>
    <fill>
      <patternFill patternType="solid">
        <fgColor rgb="FFFFFDF5"/>
        <bgColor rgb="FFFF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4" fontId="13" fillId="5" borderId="1" xfId="0" applyFont="true" applyBorder="true" applyAlignment="true" applyProtection="false">
      <alignment horizontal="center"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general" vertical="top"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9" fillId="4"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false" applyProtection="false">
      <alignment horizontal="general" vertical="bottom" textRotation="0" wrapText="false" indent="0" shrinkToFit="false"/>
      <protection locked="true" hidden="false"/>
    </xf>
    <xf numFmtId="164" fontId="0" fillId="9" borderId="1" xfId="0" applyFont="false" applyBorder="true" applyAlignment="false" applyProtection="false">
      <alignment horizontal="general" vertical="bottom" textRotation="0" wrapText="false" indent="0" shrinkToFit="false"/>
      <protection locked="true" hidden="false"/>
    </xf>
    <xf numFmtId="164" fontId="21" fillId="5" borderId="1" xfId="0" applyFont="true" applyBorder="true" applyAlignment="true" applyProtection="false">
      <alignment horizontal="center" vertical="center" textRotation="0" wrapText="true" indent="0" shrinkToFit="false"/>
      <protection locked="true" hidden="false"/>
    </xf>
    <xf numFmtId="164" fontId="22" fillId="6" borderId="1" xfId="0" applyFont="true" applyBorder="true" applyAlignment="true" applyProtection="false">
      <alignment horizontal="center" vertical="center" textRotation="0" wrapText="true" indent="0" shrinkToFit="false"/>
      <protection locked="true" hidden="false"/>
    </xf>
    <xf numFmtId="164" fontId="23" fillId="10" borderId="1" xfId="0" applyFont="true" applyBorder="true" applyAlignment="true" applyProtection="false">
      <alignment horizontal="general" vertical="top" textRotation="0" wrapText="true" indent="0" shrinkToFit="false"/>
      <protection locked="true" hidden="false"/>
    </xf>
    <xf numFmtId="164" fontId="23" fillId="11" borderId="1" xfId="0" applyFont="true" applyBorder="true" applyAlignment="true" applyProtection="false">
      <alignment horizontal="general" vertical="top" textRotation="0" wrapText="true" indent="0" shrinkToFit="false"/>
      <protection locked="true" hidden="false"/>
    </xf>
    <xf numFmtId="164" fontId="23" fillId="12" borderId="1" xfId="0" applyFont="true" applyBorder="true" applyAlignment="true" applyProtection="false">
      <alignment horizontal="general" vertical="top" textRotation="0" wrapText="true" indent="0" shrinkToFit="false"/>
      <protection locked="true" hidden="false"/>
    </xf>
    <xf numFmtId="164" fontId="23" fillId="13" borderId="1" xfId="0" applyFont="true" applyBorder="true" applyAlignment="true" applyProtection="false">
      <alignment horizontal="general" vertical="top" textRotation="0" wrapText="true" indent="0" shrinkToFit="false"/>
      <protection locked="true" hidden="false"/>
    </xf>
    <xf numFmtId="164" fontId="23" fillId="14" borderId="1" xfId="0" applyFont="true" applyBorder="true" applyAlignment="true" applyProtection="false">
      <alignment horizontal="general" vertical="top" textRotation="0" wrapText="true" indent="0" shrinkToFit="false"/>
      <protection locked="true" hidden="false"/>
    </xf>
    <xf numFmtId="164" fontId="16" fillId="15"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ill>
        <patternFill patternType="solid">
          <fgColor rgb="FF0F5132"/>
          <bgColor rgb="FF000000"/>
        </patternFill>
      </fill>
    </dxf>
    <dxf>
      <fill>
        <patternFill patternType="solid">
          <fgColor rgb="FFE3EFE9"/>
          <bgColor rgb="FF000000"/>
        </patternFill>
      </fill>
    </dxf>
    <dxf>
      <fill>
        <patternFill patternType="solid">
          <bgColor rgb="FF000000"/>
        </patternFill>
      </fill>
    </dxf>
    <dxf>
      <fill>
        <patternFill patternType="solid">
          <fgColor rgb="FF1A1A1A"/>
          <bgColor rgb="FF000000"/>
        </patternFill>
      </fill>
    </dxf>
    <dxf>
      <fill>
        <patternFill patternType="solid">
          <fgColor rgb="FFFFFFFF"/>
          <bgColor rgb="FF000000"/>
        </patternFill>
      </fill>
    </dxf>
    <dxf>
      <fill>
        <patternFill patternType="solid">
          <fgColor rgb="FFC6E0B4"/>
          <bgColor rgb="FF000000"/>
        </patternFill>
      </fill>
    </dxf>
    <dxf>
      <fill>
        <patternFill patternType="solid">
          <fgColor rgb="FFF8CBAD"/>
          <bgColor rgb="FF000000"/>
        </patternFill>
      </fill>
    </dxf>
    <dxf>
      <fill>
        <patternFill patternType="solid">
          <fgColor rgb="FFFFE699"/>
          <bgColor rgb="FF000000"/>
        </patternFill>
      </fill>
    </dxf>
    <dxf>
      <fill>
        <patternFill patternType="solid">
          <fgColor rgb="FF375623"/>
          <bgColor rgb="FF000000"/>
        </patternFill>
      </fill>
    </dxf>
    <dxf>
      <fill>
        <patternFill patternType="solid">
          <fgColor rgb="FF7F6000"/>
          <bgColor rgb="FF000000"/>
        </patternFill>
      </fill>
    </dxf>
    <dxf>
      <fill>
        <patternFill patternType="solid">
          <fgColor rgb="FF843C0C"/>
          <bgColor rgb="FF000000"/>
        </patternFill>
      </fill>
    </dxf>
    <dxf>
      <fill>
        <patternFill patternType="solid">
          <fgColor rgb="FFFBF6E7"/>
          <bgColor rgb="FF000000"/>
        </patternFill>
      </fill>
    </dxf>
    <dxf>
      <fill>
        <patternFill patternType="solid">
          <fgColor rgb="FFB8860B"/>
          <bgColor rgb="FF000000"/>
        </patternFill>
      </fill>
    </dxf>
    <dxf>
      <fill>
        <patternFill patternType="solid">
          <fgColor rgb="FF000000"/>
          <bgColor rgb="FF000000"/>
        </patternFill>
      </fill>
    </dxf>
    <dxf>
      <fill>
        <patternFill patternType="solid">
          <fgColor rgb="FFBDD7EE"/>
          <bgColor rgb="FF000000"/>
        </patternFill>
      </fill>
    </dxf>
    <dxf>
      <fill>
        <patternFill patternType="solid">
          <fgColor rgb="FFD9D9D9"/>
          <bgColor rgb="FF000000"/>
        </patternFill>
      </fill>
    </dxf>
    <dxf>
      <fill>
        <patternFill patternType="solid">
          <fgColor rgb="FF1F4E79"/>
          <bgColor rgb="FF000000"/>
        </patternFill>
      </fill>
    </dxf>
    <dxf>
      <fill>
        <patternFill patternType="solid">
          <fgColor rgb="FF595959"/>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CE4D6"/>
          <bgColor rgb="FF000000"/>
        </patternFill>
      </fill>
    </dxf>
    <dxf>
      <fill>
        <patternFill patternType="solid">
          <fgColor rgb="FFFFF2CC"/>
          <bgColor rgb="FF000000"/>
        </patternFill>
      </fill>
    </dxf>
    <dxf>
      <fill>
        <patternFill patternType="solid">
          <fgColor rgb="FFFFFDF5"/>
          <bgColor rgb="FF000000"/>
        </patternFill>
      </fill>
    </dxf>
  </dxfs>
  <colors>
    <indexedColors>
      <rgbColor rgb="FF000000"/>
      <rgbColor rgb="FFFFFFFF"/>
      <rgbColor rgb="FFFF0000"/>
      <rgbColor rgb="FF00FF00"/>
      <rgbColor rgb="FF0000FF"/>
      <rgbColor rgb="FFFBF6E7"/>
      <rgbColor rgb="FFFF00FF"/>
      <rgbColor rgb="FF00FFFF"/>
      <rgbColor rgb="FF800000"/>
      <rgbColor rgb="FF008000"/>
      <rgbColor rgb="FF000080"/>
      <rgbColor rgb="FF7F6000"/>
      <rgbColor rgb="FF800080"/>
      <rgbColor rgb="FF1B6E55"/>
      <rgbColor rgb="FFCCCCCC"/>
      <rgbColor rgb="FF808080"/>
      <rgbColor rgb="FFEDEDED"/>
      <rgbColor rgb="FF993366"/>
      <rgbColor rgb="FFFFF2CC"/>
      <rgbColor rgb="FFDDEBF7"/>
      <rgbColor rgb="FF660066"/>
      <rgbColor rgb="FFFF8080"/>
      <rgbColor rgb="FF0066CC"/>
      <rgbColor rgb="FFBDD7EE"/>
      <rgbColor rgb="FF000080"/>
      <rgbColor rgb="FFFF00FF"/>
      <rgbColor rgb="FFFFFDF5"/>
      <rgbColor rgb="FF00FFFF"/>
      <rgbColor rgb="FF800080"/>
      <rgbColor rgb="FF800000"/>
      <rgbColor rgb="FF008080"/>
      <rgbColor rgb="FF0000FF"/>
      <rgbColor rgb="FF00CCFF"/>
      <rgbColor rgb="FFE3EFE9"/>
      <rgbColor rgb="FFE2EFDA"/>
      <rgbColor rgb="FFFFE699"/>
      <rgbColor rgb="FFC6E0B4"/>
      <rgbColor rgb="FFFCE4D6"/>
      <rgbColor rgb="FFD9D9D9"/>
      <rgbColor rgb="FFF8CBAD"/>
      <rgbColor rgb="FF3366FF"/>
      <rgbColor rgb="FF33CCCC"/>
      <rgbColor rgb="FF99CC00"/>
      <rgbColor rgb="FFFFCC00"/>
      <rgbColor rgb="FFB8860B"/>
      <rgbColor rgb="FFFF6600"/>
      <rgbColor rgb="FF595959"/>
      <rgbColor rgb="FF969696"/>
      <rgbColor rgb="FF003366"/>
      <rgbColor rgb="FF339966"/>
      <rgbColor rgb="FF0F5132"/>
      <rgbColor rgb="FF375623"/>
      <rgbColor rgb="FF843C0C"/>
      <rgbColor rgb="FF993366"/>
      <rgbColor rgb="FF1F4E7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5"/>
  </cols>
  <sheetData>
    <row r="1" customFormat="false" ht="19.7"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c r="B4" s="4"/>
    </row>
    <row r="5" customFormat="false" ht="30" hidden="false" customHeight="true" outlineLevel="0" collapsed="false">
      <c r="A5" s="3" t="s">
        <v>2</v>
      </c>
      <c r="B5" s="4" t="s">
        <v>3</v>
      </c>
    </row>
    <row r="6" customFormat="false" ht="30" hidden="false" customHeight="true" outlineLevel="0" collapsed="false">
      <c r="A6" s="3" t="s">
        <v>4</v>
      </c>
      <c r="B6" s="4" t="s">
        <v>5</v>
      </c>
    </row>
    <row r="7" customFormat="false" ht="30" hidden="false" customHeight="true" outlineLevel="0" collapsed="false">
      <c r="A7" s="3" t="s">
        <v>6</v>
      </c>
      <c r="B7" s="4" t="s">
        <v>7</v>
      </c>
    </row>
    <row r="8" customFormat="false" ht="30" hidden="false" customHeight="true" outlineLevel="0" collapsed="false">
      <c r="A8" s="3" t="s">
        <v>8</v>
      </c>
      <c r="B8" s="4" t="s">
        <v>9</v>
      </c>
    </row>
    <row r="9" customFormat="false" ht="30" hidden="false" customHeight="true" outlineLevel="0" collapsed="false">
      <c r="A9" s="3" t="s">
        <v>10</v>
      </c>
      <c r="B9" s="4" t="s">
        <v>11</v>
      </c>
    </row>
    <row r="10" customFormat="false" ht="30" hidden="false" customHeight="true" outlineLevel="0" collapsed="false">
      <c r="A10" s="3" t="s">
        <v>12</v>
      </c>
      <c r="B10" s="4" t="s">
        <v>13</v>
      </c>
    </row>
    <row r="11" customFormat="false" ht="30" hidden="false" customHeight="true" outlineLevel="0" collapsed="false">
      <c r="A11" s="3" t="s">
        <v>14</v>
      </c>
      <c r="B11" s="4" t="s">
        <v>15</v>
      </c>
    </row>
    <row r="12" customFormat="false" ht="30" hidden="false" customHeight="true" outlineLevel="0" collapsed="false">
      <c r="A12" s="3" t="s">
        <v>16</v>
      </c>
      <c r="B12" s="4" t="s">
        <v>17</v>
      </c>
    </row>
    <row r="13" customFormat="false" ht="30" hidden="false" customHeight="true" outlineLevel="0" collapsed="false">
      <c r="A13" s="3" t="s">
        <v>18</v>
      </c>
      <c r="B13" s="4" t="s">
        <v>19</v>
      </c>
    </row>
    <row r="14" customFormat="false" ht="30" hidden="false" customHeight="true" outlineLevel="0" collapsed="false">
      <c r="A14" s="3" t="s">
        <v>20</v>
      </c>
      <c r="B14" s="4" t="s">
        <v>21</v>
      </c>
    </row>
    <row r="15" customFormat="false" ht="30" hidden="false" customHeight="true" outlineLevel="0" collapsed="false">
      <c r="A15" s="3" t="s">
        <v>22</v>
      </c>
      <c r="B15" s="4" t="s">
        <v>23</v>
      </c>
    </row>
    <row r="16" customFormat="false" ht="30" hidden="false" customHeight="true" outlineLevel="0" collapsed="false">
      <c r="A16" s="3" t="s">
        <v>24</v>
      </c>
      <c r="B16" s="4" t="s">
        <v>25</v>
      </c>
    </row>
    <row r="17" customFormat="false" ht="30" hidden="false" customHeight="true" outlineLevel="0" collapsed="false">
      <c r="A17" s="3" t="s">
        <v>26</v>
      </c>
      <c r="B17" s="4" t="s">
        <v>27</v>
      </c>
    </row>
    <row r="19" customFormat="false" ht="15" hidden="false" customHeight="false" outlineLevel="0" collapsed="false">
      <c r="A19" s="5" t="s">
        <v>28</v>
      </c>
    </row>
    <row r="20" customFormat="false" ht="15" hidden="false" customHeight="false" outlineLevel="0" collapsed="false">
      <c r="A20" s="6" t="s">
        <v>29</v>
      </c>
      <c r="B20" s="7" t="n">
        <f aca="false">COUNTIF('Merchant Gold Table'!E:E,"Have")</f>
        <v>3</v>
      </c>
    </row>
    <row r="21" customFormat="false" ht="15" hidden="false" customHeight="false" outlineLevel="0" collapsed="false">
      <c r="A21" s="8" t="s">
        <v>30</v>
      </c>
      <c r="B21" s="7" t="n">
        <f aca="false">COUNTIF('Merchant Gold Table'!E:E,"Derive")</f>
        <v>50</v>
      </c>
    </row>
    <row r="22" customFormat="false" ht="15" hidden="false" customHeight="false" outlineLevel="0" collapsed="false">
      <c r="A22" s="9" t="s">
        <v>31</v>
      </c>
      <c r="B22" s="7" t="n">
        <f aca="false">COUNTIF('Merchant Gold Table'!E:E,"Must-capture")</f>
        <v>6</v>
      </c>
    </row>
    <row r="23" customFormat="false" ht="15" hidden="false" customHeight="false" outlineLevel="0" collapsed="false">
      <c r="A23" s="10" t="s">
        <v>32</v>
      </c>
      <c r="B23" s="7" t="n">
        <f aca="false">COUNTIF('Merchant Gold Table'!E:E,"Reuse")</f>
        <v>4</v>
      </c>
    </row>
    <row r="24" customFormat="false" ht="15" hidden="false" customHeight="false" outlineLevel="0" collapsed="false">
      <c r="A24" s="11" t="s">
        <v>33</v>
      </c>
      <c r="B24" s="7" t="n">
        <f aca="false">COUNTIF('Merchant Gold Table'!E:E,"Future")</f>
        <v>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4"/>
    <col collapsed="false" customWidth="true" hidden="false" outlineLevel="0" max="4" min="4" style="0" width="22"/>
    <col collapsed="false" customWidth="true" hidden="false" outlineLevel="0" max="5" min="5" style="0" width="13"/>
    <col collapsed="false" customWidth="true" hidden="false" outlineLevel="0" max="6" min="6" style="0" width="10"/>
    <col collapsed="false" customWidth="true" hidden="false" outlineLevel="0" max="7" min="7" style="0" width="12"/>
    <col collapsed="false" customWidth="true" hidden="false" outlineLevel="0" max="8" min="8" style="0" width="26"/>
    <col collapsed="false" customWidth="true" hidden="false" outlineLevel="0" max="9" min="9" style="0" width="46"/>
  </cols>
  <sheetData>
    <row r="1" customFormat="false" ht="19.7" hidden="false" customHeight="false" outlineLevel="0" collapsed="false">
      <c r="A1" s="1" t="s">
        <v>34</v>
      </c>
    </row>
    <row r="2" customFormat="false" ht="15" hidden="false" customHeight="false" outlineLevel="0" collapsed="false">
      <c r="A2" s="2" t="s">
        <v>35</v>
      </c>
    </row>
    <row r="4" customFormat="false" ht="27.75" hidden="false" customHeight="true" outlineLevel="0" collapsed="false">
      <c r="A4" s="12" t="s">
        <v>36</v>
      </c>
      <c r="B4" s="12" t="s">
        <v>37</v>
      </c>
      <c r="C4" s="12" t="s">
        <v>38</v>
      </c>
      <c r="D4" s="12" t="s">
        <v>39</v>
      </c>
      <c r="E4" s="12" t="s">
        <v>40</v>
      </c>
      <c r="F4" s="12" t="s">
        <v>41</v>
      </c>
      <c r="G4" s="12" t="s">
        <v>42</v>
      </c>
      <c r="H4" s="12" t="s">
        <v>43</v>
      </c>
      <c r="I4" s="12" t="s">
        <v>44</v>
      </c>
    </row>
    <row r="5" customFormat="false" ht="15" hidden="false" customHeight="false" outlineLevel="0" collapsed="false">
      <c r="A5" s="13" t="s">
        <v>45</v>
      </c>
      <c r="B5" s="13" t="s">
        <v>46</v>
      </c>
      <c r="C5" s="13" t="s">
        <v>47</v>
      </c>
      <c r="D5" s="13" t="s">
        <v>48</v>
      </c>
      <c r="E5" s="14" t="s">
        <v>29</v>
      </c>
      <c r="F5" s="13" t="s">
        <v>49</v>
      </c>
      <c r="G5" s="13"/>
      <c r="H5" s="13" t="s">
        <v>50</v>
      </c>
      <c r="I5" s="13" t="s">
        <v>51</v>
      </c>
    </row>
    <row r="6" customFormat="false" ht="23.85" hidden="false" customHeight="false" outlineLevel="0" collapsed="false">
      <c r="A6" s="15" t="s">
        <v>52</v>
      </c>
      <c r="B6" s="15" t="s">
        <v>46</v>
      </c>
      <c r="C6" s="15" t="s">
        <v>53</v>
      </c>
      <c r="D6" s="15" t="s">
        <v>54</v>
      </c>
      <c r="E6" s="16" t="s">
        <v>30</v>
      </c>
      <c r="F6" s="15" t="s">
        <v>55</v>
      </c>
      <c r="G6" s="15" t="s">
        <v>56</v>
      </c>
      <c r="H6" s="15" t="s">
        <v>57</v>
      </c>
      <c r="I6" s="15" t="s">
        <v>58</v>
      </c>
    </row>
    <row r="7" customFormat="false" ht="15" hidden="false" customHeight="false" outlineLevel="0" collapsed="false">
      <c r="A7" s="13" t="s">
        <v>59</v>
      </c>
      <c r="B7" s="13" t="s">
        <v>46</v>
      </c>
      <c r="C7" s="13" t="s">
        <v>60</v>
      </c>
      <c r="D7" s="13" t="s">
        <v>61</v>
      </c>
      <c r="E7" s="14" t="s">
        <v>29</v>
      </c>
      <c r="F7" s="13" t="s">
        <v>49</v>
      </c>
      <c r="G7" s="13"/>
      <c r="H7" s="13" t="s">
        <v>62</v>
      </c>
      <c r="I7" s="13" t="s">
        <v>63</v>
      </c>
    </row>
    <row r="8" customFormat="false" ht="15" hidden="false" customHeight="false" outlineLevel="0" collapsed="false">
      <c r="A8" s="15" t="s">
        <v>64</v>
      </c>
      <c r="B8" s="15" t="s">
        <v>46</v>
      </c>
      <c r="C8" s="15" t="s">
        <v>60</v>
      </c>
      <c r="D8" s="15" t="s">
        <v>65</v>
      </c>
      <c r="E8" s="14" t="s">
        <v>29</v>
      </c>
      <c r="F8" s="15" t="s">
        <v>49</v>
      </c>
      <c r="G8" s="15"/>
      <c r="H8" s="15" t="s">
        <v>66</v>
      </c>
      <c r="I8" s="15" t="s">
        <v>67</v>
      </c>
    </row>
    <row r="9" customFormat="false" ht="15" hidden="false" customHeight="false" outlineLevel="0" collapsed="false">
      <c r="A9" s="13" t="s">
        <v>68</v>
      </c>
      <c r="B9" s="13" t="s">
        <v>69</v>
      </c>
      <c r="C9" s="13" t="s">
        <v>60</v>
      </c>
      <c r="D9" s="13" t="s">
        <v>70</v>
      </c>
      <c r="E9" s="14" t="s">
        <v>29</v>
      </c>
      <c r="F9" s="13" t="s">
        <v>55</v>
      </c>
      <c r="G9" s="13"/>
      <c r="H9" s="13" t="s">
        <v>71</v>
      </c>
      <c r="I9" s="13" t="s">
        <v>72</v>
      </c>
    </row>
    <row r="10" customFormat="false" ht="23.85" hidden="false" customHeight="false" outlineLevel="0" collapsed="false">
      <c r="A10" s="15" t="s">
        <v>73</v>
      </c>
      <c r="B10" s="15" t="s">
        <v>74</v>
      </c>
      <c r="C10" s="15" t="s">
        <v>60</v>
      </c>
      <c r="D10" s="15" t="s">
        <v>75</v>
      </c>
      <c r="E10" s="14" t="s">
        <v>29</v>
      </c>
      <c r="F10" s="15" t="s">
        <v>55</v>
      </c>
      <c r="G10" s="15"/>
      <c r="H10" s="15" t="s">
        <v>76</v>
      </c>
      <c r="I10" s="15" t="s">
        <v>77</v>
      </c>
    </row>
    <row r="11" customFormat="false" ht="23.85" hidden="false" customHeight="false" outlineLevel="0" collapsed="false">
      <c r="A11" s="13" t="s">
        <v>78</v>
      </c>
      <c r="B11" s="13" t="s">
        <v>79</v>
      </c>
      <c r="C11" s="13" t="s">
        <v>60</v>
      </c>
      <c r="D11" s="13" t="s">
        <v>80</v>
      </c>
      <c r="E11" s="14" t="s">
        <v>29</v>
      </c>
      <c r="F11" s="13" t="s">
        <v>55</v>
      </c>
      <c r="G11" s="13" t="s">
        <v>81</v>
      </c>
      <c r="H11" s="13" t="s">
        <v>82</v>
      </c>
      <c r="I11" s="13" t="s">
        <v>83</v>
      </c>
    </row>
    <row r="12" customFormat="false" ht="23.85" hidden="false" customHeight="false" outlineLevel="0" collapsed="false">
      <c r="A12" s="15" t="s">
        <v>84</v>
      </c>
      <c r="B12" s="15" t="s">
        <v>85</v>
      </c>
      <c r="C12" s="15" t="s">
        <v>60</v>
      </c>
      <c r="D12" s="15" t="s">
        <v>86</v>
      </c>
      <c r="E12" s="16" t="s">
        <v>30</v>
      </c>
      <c r="F12" s="15" t="s">
        <v>55</v>
      </c>
      <c r="G12" s="15"/>
      <c r="H12" s="15" t="s">
        <v>87</v>
      </c>
      <c r="I12" s="15" t="s">
        <v>88</v>
      </c>
    </row>
    <row r="13" customFormat="false" ht="23.85" hidden="false" customHeight="false" outlineLevel="0" collapsed="false">
      <c r="A13" s="13" t="s">
        <v>89</v>
      </c>
      <c r="B13" s="13" t="s">
        <v>85</v>
      </c>
      <c r="C13" s="13" t="s">
        <v>60</v>
      </c>
      <c r="D13" s="13" t="s">
        <v>90</v>
      </c>
      <c r="E13" s="14" t="s">
        <v>29</v>
      </c>
      <c r="F13" s="13" t="s">
        <v>55</v>
      </c>
      <c r="G13" s="13"/>
      <c r="H13" s="13" t="s">
        <v>91</v>
      </c>
      <c r="I13" s="13" t="s">
        <v>92</v>
      </c>
    </row>
    <row r="14" customFormat="false" ht="15" hidden="false" customHeight="false" outlineLevel="0" collapsed="false">
      <c r="A14" s="15" t="s">
        <v>93</v>
      </c>
      <c r="B14" s="15" t="s">
        <v>94</v>
      </c>
      <c r="C14" s="15" t="s">
        <v>60</v>
      </c>
      <c r="D14" s="15" t="s">
        <v>95</v>
      </c>
      <c r="E14" s="14" t="s">
        <v>29</v>
      </c>
      <c r="F14" s="15" t="s">
        <v>55</v>
      </c>
      <c r="G14" s="15"/>
      <c r="H14" s="15" t="s">
        <v>91</v>
      </c>
      <c r="I14" s="15" t="s">
        <v>96</v>
      </c>
    </row>
    <row r="15" customFormat="false" ht="23.85" hidden="false" customHeight="false" outlineLevel="0" collapsed="false">
      <c r="A15" s="13" t="s">
        <v>97</v>
      </c>
      <c r="B15" s="13" t="s">
        <v>74</v>
      </c>
      <c r="C15" s="13" t="s">
        <v>60</v>
      </c>
      <c r="D15" s="13" t="s">
        <v>98</v>
      </c>
      <c r="E15" s="14" t="s">
        <v>29</v>
      </c>
      <c r="F15" s="13" t="s">
        <v>55</v>
      </c>
      <c r="G15" s="13"/>
      <c r="H15" s="13" t="s">
        <v>99</v>
      </c>
      <c r="I15" s="13" t="s">
        <v>100</v>
      </c>
    </row>
    <row r="16" customFormat="false" ht="15" hidden="false" customHeight="false" outlineLevel="0" collapsed="false">
      <c r="A16" s="15" t="s">
        <v>101</v>
      </c>
      <c r="B16" s="15" t="s">
        <v>79</v>
      </c>
      <c r="C16" s="15" t="s">
        <v>60</v>
      </c>
      <c r="D16" s="15" t="s">
        <v>102</v>
      </c>
      <c r="E16" s="16" t="s">
        <v>30</v>
      </c>
      <c r="F16" s="15" t="s">
        <v>49</v>
      </c>
      <c r="G16" s="15"/>
      <c r="H16" s="15" t="s">
        <v>103</v>
      </c>
      <c r="I16" s="15" t="s">
        <v>104</v>
      </c>
    </row>
    <row r="17" customFormat="false" ht="23.85" hidden="false" customHeight="false" outlineLevel="0" collapsed="false">
      <c r="A17" s="13" t="s">
        <v>105</v>
      </c>
      <c r="B17" s="13" t="s">
        <v>74</v>
      </c>
      <c r="C17" s="13" t="s">
        <v>60</v>
      </c>
      <c r="D17" s="13" t="s">
        <v>106</v>
      </c>
      <c r="E17" s="14" t="s">
        <v>29</v>
      </c>
      <c r="F17" s="13" t="s">
        <v>55</v>
      </c>
      <c r="G17" s="13" t="s">
        <v>81</v>
      </c>
      <c r="H17" s="13" t="s">
        <v>107</v>
      </c>
      <c r="I17" s="13" t="s">
        <v>108</v>
      </c>
    </row>
    <row r="18" customFormat="false" ht="23.85" hidden="false" customHeight="false" outlineLevel="0" collapsed="false">
      <c r="A18" s="15" t="s">
        <v>109</v>
      </c>
      <c r="B18" s="15" t="s">
        <v>94</v>
      </c>
      <c r="C18" s="15" t="s">
        <v>60</v>
      </c>
      <c r="D18" s="15" t="s">
        <v>110</v>
      </c>
      <c r="E18" s="14" t="s">
        <v>29</v>
      </c>
      <c r="F18" s="15" t="s">
        <v>55</v>
      </c>
      <c r="G18" s="15"/>
      <c r="H18" s="15" t="s">
        <v>111</v>
      </c>
      <c r="I18" s="15" t="s">
        <v>112</v>
      </c>
    </row>
    <row r="19" customFormat="false" ht="23.85" hidden="false" customHeight="false" outlineLevel="0" collapsed="false">
      <c r="A19" s="13" t="s">
        <v>113</v>
      </c>
      <c r="B19" s="13" t="s">
        <v>46</v>
      </c>
      <c r="C19" s="13" t="s">
        <v>114</v>
      </c>
      <c r="D19" s="13" t="s">
        <v>115</v>
      </c>
      <c r="E19" s="16" t="s">
        <v>30</v>
      </c>
      <c r="F19" s="13" t="s">
        <v>49</v>
      </c>
      <c r="G19" s="13"/>
      <c r="H19" s="13" t="s">
        <v>116</v>
      </c>
      <c r="I19" s="13" t="s">
        <v>117</v>
      </c>
    </row>
    <row r="20" customFormat="false" ht="46.25" hidden="false" customHeight="false" outlineLevel="0" collapsed="false">
      <c r="A20" s="15" t="s">
        <v>118</v>
      </c>
      <c r="B20" s="15" t="s">
        <v>85</v>
      </c>
      <c r="C20" s="15" t="s">
        <v>60</v>
      </c>
      <c r="D20" s="15" t="s">
        <v>119</v>
      </c>
      <c r="E20" s="17" t="s">
        <v>31</v>
      </c>
      <c r="F20" s="15" t="s">
        <v>49</v>
      </c>
      <c r="G20" s="15"/>
      <c r="H20" s="15" t="s">
        <v>120</v>
      </c>
      <c r="I20" s="15" t="s">
        <v>121</v>
      </c>
    </row>
    <row r="21" customFormat="false" ht="15" hidden="false" customHeight="false" outlineLevel="0" collapsed="false">
      <c r="A21" s="13" t="s">
        <v>122</v>
      </c>
      <c r="B21" s="13" t="s">
        <v>85</v>
      </c>
      <c r="C21" s="13" t="s">
        <v>60</v>
      </c>
      <c r="D21" s="13" t="s">
        <v>123</v>
      </c>
      <c r="E21" s="14" t="s">
        <v>29</v>
      </c>
      <c r="F21" s="13" t="s">
        <v>49</v>
      </c>
      <c r="G21" s="13" t="s">
        <v>56</v>
      </c>
      <c r="H21" s="13" t="s">
        <v>124</v>
      </c>
      <c r="I21" s="13" t="s">
        <v>125</v>
      </c>
    </row>
    <row r="22" customFormat="false" ht="23.85" hidden="false" customHeight="false" outlineLevel="0" collapsed="false">
      <c r="A22" s="15" t="s">
        <v>126</v>
      </c>
      <c r="B22" s="15" t="s">
        <v>85</v>
      </c>
      <c r="C22" s="15" t="s">
        <v>60</v>
      </c>
      <c r="D22" s="15" t="s">
        <v>127</v>
      </c>
      <c r="E22" s="14" t="s">
        <v>29</v>
      </c>
      <c r="F22" s="15" t="s">
        <v>55</v>
      </c>
      <c r="G22" s="15"/>
      <c r="H22" s="15" t="s">
        <v>128</v>
      </c>
      <c r="I22" s="15" t="s">
        <v>129</v>
      </c>
    </row>
    <row r="23" customFormat="false" ht="23.85" hidden="false" customHeight="false" outlineLevel="0" collapsed="false">
      <c r="A23" s="13" t="s">
        <v>130</v>
      </c>
      <c r="B23" s="13" t="s">
        <v>74</v>
      </c>
      <c r="C23" s="13" t="s">
        <v>60</v>
      </c>
      <c r="D23" s="13" t="s">
        <v>131</v>
      </c>
      <c r="E23" s="17" t="s">
        <v>31</v>
      </c>
      <c r="F23" s="13" t="s">
        <v>49</v>
      </c>
      <c r="G23" s="13"/>
      <c r="H23" s="13" t="s">
        <v>132</v>
      </c>
      <c r="I23" s="13" t="s">
        <v>133</v>
      </c>
    </row>
    <row r="24" customFormat="false" ht="15" hidden="false" customHeight="false" outlineLevel="0" collapsed="false">
      <c r="A24" s="15" t="s">
        <v>134</v>
      </c>
      <c r="B24" s="15" t="s">
        <v>74</v>
      </c>
      <c r="C24" s="15" t="s">
        <v>60</v>
      </c>
      <c r="D24" s="15" t="s">
        <v>135</v>
      </c>
      <c r="E24" s="17" t="s">
        <v>31</v>
      </c>
      <c r="F24" s="15" t="s">
        <v>49</v>
      </c>
      <c r="G24" s="15"/>
      <c r="H24" s="15" t="s">
        <v>136</v>
      </c>
      <c r="I24" s="15" t="s">
        <v>137</v>
      </c>
    </row>
    <row r="25" customFormat="false" ht="23.85" hidden="false" customHeight="false" outlineLevel="0" collapsed="false">
      <c r="A25" s="13" t="s">
        <v>138</v>
      </c>
      <c r="B25" s="13" t="s">
        <v>46</v>
      </c>
      <c r="C25" s="13" t="s">
        <v>60</v>
      </c>
      <c r="D25" s="13" t="s">
        <v>139</v>
      </c>
      <c r="E25" s="14" t="s">
        <v>29</v>
      </c>
      <c r="F25" s="13" t="s">
        <v>55</v>
      </c>
      <c r="G25" s="13" t="s">
        <v>81</v>
      </c>
      <c r="H25" s="13" t="s">
        <v>140</v>
      </c>
      <c r="I25" s="13" t="s">
        <v>141</v>
      </c>
    </row>
    <row r="26" customFormat="false" ht="23.85" hidden="false" customHeight="false" outlineLevel="0" collapsed="false">
      <c r="A26" s="15" t="s">
        <v>142</v>
      </c>
      <c r="B26" s="15" t="s">
        <v>79</v>
      </c>
      <c r="C26" s="15" t="s">
        <v>143</v>
      </c>
      <c r="D26" s="15" t="s">
        <v>144</v>
      </c>
      <c r="E26" s="16" t="s">
        <v>30</v>
      </c>
      <c r="F26" s="15" t="s">
        <v>49</v>
      </c>
      <c r="G26" s="15"/>
      <c r="H26" s="15" t="s">
        <v>145</v>
      </c>
      <c r="I26" s="15" t="s">
        <v>146</v>
      </c>
    </row>
    <row r="27" customFormat="false" ht="23.85" hidden="false" customHeight="false" outlineLevel="0" collapsed="false">
      <c r="A27" s="13" t="s">
        <v>147</v>
      </c>
      <c r="B27" s="13" t="s">
        <v>94</v>
      </c>
      <c r="C27" s="13" t="s">
        <v>60</v>
      </c>
      <c r="D27" s="13" t="s">
        <v>148</v>
      </c>
      <c r="E27" s="16" t="s">
        <v>30</v>
      </c>
      <c r="F27" s="13" t="s">
        <v>55</v>
      </c>
      <c r="G27" s="13"/>
      <c r="H27" s="13" t="s">
        <v>149</v>
      </c>
      <c r="I27" s="13" t="s">
        <v>150</v>
      </c>
    </row>
    <row r="28" customFormat="false" ht="15" hidden="false" customHeight="false" outlineLevel="0" collapsed="false">
      <c r="A28" s="15" t="s">
        <v>151</v>
      </c>
      <c r="B28" s="15" t="s">
        <v>152</v>
      </c>
      <c r="C28" s="15" t="s">
        <v>60</v>
      </c>
      <c r="D28" s="15" t="s">
        <v>153</v>
      </c>
      <c r="E28" s="17" t="s">
        <v>31</v>
      </c>
      <c r="F28" s="15" t="s">
        <v>49</v>
      </c>
      <c r="G28" s="15"/>
      <c r="H28" s="15" t="s">
        <v>154</v>
      </c>
      <c r="I28" s="15" t="s">
        <v>155</v>
      </c>
    </row>
  </sheetData>
  <autoFilter ref="A4:I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4"/>
    <col collapsed="false" customWidth="true" hidden="false" outlineLevel="0" max="4" min="4" style="0" width="22"/>
    <col collapsed="false" customWidth="true" hidden="false" outlineLevel="0" max="5" min="5" style="0" width="13"/>
    <col collapsed="false" customWidth="true" hidden="false" outlineLevel="0" max="6" min="6" style="0" width="10"/>
    <col collapsed="false" customWidth="true" hidden="false" outlineLevel="0" max="7" min="7" style="0" width="12"/>
    <col collapsed="false" customWidth="true" hidden="false" outlineLevel="0" max="8" min="8" style="0" width="26"/>
    <col collapsed="false" customWidth="true" hidden="false" outlineLevel="0" max="9" min="9" style="0" width="46"/>
  </cols>
  <sheetData>
    <row r="1" customFormat="false" ht="19.7" hidden="false" customHeight="false" outlineLevel="0" collapsed="false">
      <c r="A1" s="1" t="s">
        <v>156</v>
      </c>
    </row>
    <row r="2" customFormat="false" ht="15" hidden="false" customHeight="false" outlineLevel="0" collapsed="false">
      <c r="A2" s="2" t="s">
        <v>157</v>
      </c>
    </row>
    <row r="4" customFormat="false" ht="27.75" hidden="false" customHeight="true" outlineLevel="0" collapsed="false">
      <c r="A4" s="12" t="s">
        <v>36</v>
      </c>
      <c r="B4" s="12" t="s">
        <v>37</v>
      </c>
      <c r="C4" s="12" t="s">
        <v>38</v>
      </c>
      <c r="D4" s="12" t="s">
        <v>39</v>
      </c>
      <c r="E4" s="12" t="s">
        <v>40</v>
      </c>
      <c r="F4" s="12" t="s">
        <v>41</v>
      </c>
      <c r="G4" s="12" t="s">
        <v>42</v>
      </c>
      <c r="H4" s="12" t="s">
        <v>43</v>
      </c>
      <c r="I4" s="12" t="s">
        <v>44</v>
      </c>
    </row>
    <row r="5" customFormat="false" ht="15" hidden="false" customHeight="false" outlineLevel="0" collapsed="false">
      <c r="A5" s="18" t="s">
        <v>158</v>
      </c>
      <c r="B5" s="19"/>
      <c r="C5" s="19"/>
      <c r="D5" s="19"/>
      <c r="E5" s="19"/>
      <c r="F5" s="19"/>
      <c r="G5" s="19"/>
      <c r="H5" s="19"/>
      <c r="I5" s="19"/>
    </row>
    <row r="6" customFormat="false" ht="15" hidden="false" customHeight="false" outlineLevel="0" collapsed="false">
      <c r="A6" s="13" t="s">
        <v>52</v>
      </c>
      <c r="B6" s="13" t="s">
        <v>46</v>
      </c>
      <c r="C6" s="13" t="s">
        <v>47</v>
      </c>
      <c r="D6" s="13" t="s">
        <v>54</v>
      </c>
      <c r="E6" s="16" t="s">
        <v>30</v>
      </c>
      <c r="F6" s="13" t="s">
        <v>55</v>
      </c>
      <c r="G6" s="13" t="s">
        <v>56</v>
      </c>
      <c r="H6" s="13" t="s">
        <v>50</v>
      </c>
      <c r="I6" s="13" t="s">
        <v>159</v>
      </c>
    </row>
    <row r="7" customFormat="false" ht="15" hidden="false" customHeight="false" outlineLevel="0" collapsed="false">
      <c r="A7" s="15" t="s">
        <v>160</v>
      </c>
      <c r="B7" s="15" t="s">
        <v>46</v>
      </c>
      <c r="C7" s="15" t="s">
        <v>60</v>
      </c>
      <c r="D7" s="15" t="s">
        <v>161</v>
      </c>
      <c r="E7" s="14" t="s">
        <v>29</v>
      </c>
      <c r="F7" s="15" t="s">
        <v>162</v>
      </c>
      <c r="G7" s="15" t="s">
        <v>56</v>
      </c>
      <c r="H7" s="15" t="s">
        <v>163</v>
      </c>
      <c r="I7" s="15" t="s">
        <v>164</v>
      </c>
    </row>
    <row r="8" customFormat="false" ht="15" hidden="false" customHeight="false" outlineLevel="0" collapsed="false">
      <c r="A8" s="13" t="s">
        <v>165</v>
      </c>
      <c r="B8" s="13" t="s">
        <v>46</v>
      </c>
      <c r="C8" s="13" t="s">
        <v>60</v>
      </c>
      <c r="D8" s="13" t="s">
        <v>166</v>
      </c>
      <c r="E8" s="17" t="s">
        <v>31</v>
      </c>
      <c r="F8" s="13" t="s">
        <v>49</v>
      </c>
      <c r="G8" s="13" t="s">
        <v>56</v>
      </c>
      <c r="H8" s="13" t="s">
        <v>167</v>
      </c>
      <c r="I8" s="13" t="s">
        <v>168</v>
      </c>
    </row>
    <row r="9" customFormat="false" ht="15" hidden="false" customHeight="false" outlineLevel="0" collapsed="false">
      <c r="A9" s="15" t="s">
        <v>169</v>
      </c>
      <c r="B9" s="15" t="s">
        <v>46</v>
      </c>
      <c r="C9" s="15" t="s">
        <v>60</v>
      </c>
      <c r="D9" s="15" t="s">
        <v>161</v>
      </c>
      <c r="E9" s="14" t="s">
        <v>29</v>
      </c>
      <c r="F9" s="15" t="s">
        <v>49</v>
      </c>
      <c r="G9" s="15" t="s">
        <v>56</v>
      </c>
      <c r="H9" s="15" t="s">
        <v>167</v>
      </c>
      <c r="I9" s="15" t="s">
        <v>170</v>
      </c>
    </row>
    <row r="10" customFormat="false" ht="15" hidden="false" customHeight="false" outlineLevel="0" collapsed="false">
      <c r="A10" s="13" t="s">
        <v>138</v>
      </c>
      <c r="B10" s="13" t="s">
        <v>46</v>
      </c>
      <c r="C10" s="13" t="s">
        <v>60</v>
      </c>
      <c r="D10" s="13" t="s">
        <v>171</v>
      </c>
      <c r="E10" s="14" t="s">
        <v>29</v>
      </c>
      <c r="F10" s="13" t="s">
        <v>55</v>
      </c>
      <c r="G10" s="13" t="s">
        <v>81</v>
      </c>
      <c r="H10" s="13" t="s">
        <v>172</v>
      </c>
      <c r="I10" s="13" t="s">
        <v>173</v>
      </c>
    </row>
    <row r="11" customFormat="false" ht="15" hidden="false" customHeight="false" outlineLevel="0" collapsed="false">
      <c r="A11" s="15" t="s">
        <v>174</v>
      </c>
      <c r="B11" s="15" t="s">
        <v>46</v>
      </c>
      <c r="C11" s="15" t="s">
        <v>60</v>
      </c>
      <c r="D11" s="15" t="s">
        <v>166</v>
      </c>
      <c r="E11" s="16" t="s">
        <v>30</v>
      </c>
      <c r="F11" s="15" t="s">
        <v>55</v>
      </c>
      <c r="G11" s="15"/>
      <c r="H11" s="15" t="s">
        <v>175</v>
      </c>
      <c r="I11" s="15" t="s">
        <v>176</v>
      </c>
    </row>
    <row r="12" customFormat="false" ht="15" hidden="false" customHeight="false" outlineLevel="0" collapsed="false">
      <c r="A12" s="13" t="s">
        <v>177</v>
      </c>
      <c r="B12" s="13" t="s">
        <v>69</v>
      </c>
      <c r="C12" s="13" t="s">
        <v>60</v>
      </c>
      <c r="D12" s="13" t="s">
        <v>178</v>
      </c>
      <c r="E12" s="16" t="s">
        <v>30</v>
      </c>
      <c r="F12" s="13" t="s">
        <v>55</v>
      </c>
      <c r="G12" s="13"/>
      <c r="H12" s="13" t="s">
        <v>179</v>
      </c>
      <c r="I12" s="13" t="s">
        <v>180</v>
      </c>
    </row>
    <row r="13" customFormat="false" ht="23.85" hidden="false" customHeight="false" outlineLevel="0" collapsed="false">
      <c r="A13" s="15" t="s">
        <v>181</v>
      </c>
      <c r="B13" s="15" t="s">
        <v>85</v>
      </c>
      <c r="C13" s="15" t="s">
        <v>143</v>
      </c>
      <c r="D13" s="15" t="s">
        <v>182</v>
      </c>
      <c r="E13" s="16" t="s">
        <v>30</v>
      </c>
      <c r="F13" s="15" t="s">
        <v>55</v>
      </c>
      <c r="G13" s="15"/>
      <c r="H13" s="15" t="s">
        <v>183</v>
      </c>
      <c r="I13" s="15" t="s">
        <v>184</v>
      </c>
    </row>
    <row r="14" customFormat="false" ht="15" hidden="false" customHeight="false" outlineLevel="0" collapsed="false">
      <c r="A14" s="18" t="s">
        <v>185</v>
      </c>
      <c r="B14" s="19"/>
      <c r="C14" s="19"/>
      <c r="D14" s="19"/>
      <c r="E14" s="19"/>
      <c r="F14" s="19"/>
      <c r="G14" s="19"/>
      <c r="H14" s="19"/>
      <c r="I14" s="19"/>
    </row>
    <row r="15" customFormat="false" ht="15" hidden="false" customHeight="false" outlineLevel="0" collapsed="false">
      <c r="A15" s="13" t="s">
        <v>186</v>
      </c>
      <c r="B15" s="13" t="s">
        <v>85</v>
      </c>
      <c r="C15" s="13" t="s">
        <v>143</v>
      </c>
      <c r="D15" s="13" t="s">
        <v>187</v>
      </c>
      <c r="E15" s="16" t="s">
        <v>30</v>
      </c>
      <c r="F15" s="13" t="s">
        <v>55</v>
      </c>
      <c r="G15" s="13"/>
      <c r="H15" s="13" t="s">
        <v>188</v>
      </c>
      <c r="I15" s="13" t="s">
        <v>189</v>
      </c>
    </row>
    <row r="16" customFormat="false" ht="23.85" hidden="false" customHeight="false" outlineLevel="0" collapsed="false">
      <c r="A16" s="15" t="s">
        <v>190</v>
      </c>
      <c r="B16" s="15" t="s">
        <v>74</v>
      </c>
      <c r="C16" s="15" t="s">
        <v>143</v>
      </c>
      <c r="D16" s="15" t="s">
        <v>191</v>
      </c>
      <c r="E16" s="16" t="s">
        <v>30</v>
      </c>
      <c r="F16" s="15" t="s">
        <v>162</v>
      </c>
      <c r="G16" s="15"/>
      <c r="H16" s="15" t="s">
        <v>192</v>
      </c>
      <c r="I16" s="15" t="s">
        <v>193</v>
      </c>
    </row>
    <row r="17" customFormat="false" ht="23.85" hidden="false" customHeight="false" outlineLevel="0" collapsed="false">
      <c r="A17" s="13" t="s">
        <v>194</v>
      </c>
      <c r="B17" s="13" t="s">
        <v>74</v>
      </c>
      <c r="C17" s="13" t="s">
        <v>143</v>
      </c>
      <c r="D17" s="13" t="s">
        <v>195</v>
      </c>
      <c r="E17" s="17" t="s">
        <v>31</v>
      </c>
      <c r="F17" s="13" t="s">
        <v>55</v>
      </c>
      <c r="G17" s="13"/>
      <c r="H17" s="13" t="s">
        <v>196</v>
      </c>
      <c r="I17" s="13" t="s">
        <v>197</v>
      </c>
    </row>
    <row r="18" customFormat="false" ht="15" hidden="false" customHeight="false" outlineLevel="0" collapsed="false">
      <c r="A18" s="15" t="s">
        <v>198</v>
      </c>
      <c r="B18" s="15" t="s">
        <v>79</v>
      </c>
      <c r="C18" s="15" t="s">
        <v>143</v>
      </c>
      <c r="D18" s="15" t="s">
        <v>199</v>
      </c>
      <c r="E18" s="16" t="s">
        <v>30</v>
      </c>
      <c r="F18" s="15" t="s">
        <v>162</v>
      </c>
      <c r="G18" s="15"/>
      <c r="H18" s="15" t="s">
        <v>200</v>
      </c>
      <c r="I18" s="15" t="s">
        <v>201</v>
      </c>
    </row>
    <row r="19" customFormat="false" ht="35.05" hidden="false" customHeight="false" outlineLevel="0" collapsed="false">
      <c r="A19" s="13" t="s">
        <v>202</v>
      </c>
      <c r="B19" s="13" t="s">
        <v>74</v>
      </c>
      <c r="C19" s="13" t="s">
        <v>143</v>
      </c>
      <c r="D19" s="13" t="s">
        <v>203</v>
      </c>
      <c r="E19" s="16" t="s">
        <v>30</v>
      </c>
      <c r="F19" s="13" t="s">
        <v>162</v>
      </c>
      <c r="G19" s="13" t="s">
        <v>81</v>
      </c>
      <c r="H19" s="13" t="s">
        <v>204</v>
      </c>
      <c r="I19" s="13" t="s">
        <v>205</v>
      </c>
    </row>
    <row r="20" customFormat="false" ht="35.05" hidden="false" customHeight="false" outlineLevel="0" collapsed="false">
      <c r="A20" s="15" t="s">
        <v>206</v>
      </c>
      <c r="B20" s="15" t="s">
        <v>79</v>
      </c>
      <c r="C20" s="15" t="s">
        <v>143</v>
      </c>
      <c r="D20" s="15" t="s">
        <v>203</v>
      </c>
      <c r="E20" s="16" t="s">
        <v>30</v>
      </c>
      <c r="F20" s="15" t="s">
        <v>162</v>
      </c>
      <c r="G20" s="15"/>
      <c r="H20" s="15" t="s">
        <v>207</v>
      </c>
      <c r="I20" s="15" t="s">
        <v>208</v>
      </c>
    </row>
    <row r="21" customFormat="false" ht="23.85" hidden="false" customHeight="false" outlineLevel="0" collapsed="false">
      <c r="A21" s="13" t="s">
        <v>209</v>
      </c>
      <c r="B21" s="13" t="s">
        <v>69</v>
      </c>
      <c r="C21" s="13" t="s">
        <v>143</v>
      </c>
      <c r="D21" s="13" t="s">
        <v>203</v>
      </c>
      <c r="E21" s="16" t="s">
        <v>30</v>
      </c>
      <c r="F21" s="13" t="s">
        <v>55</v>
      </c>
      <c r="G21" s="13"/>
      <c r="H21" s="13" t="s">
        <v>210</v>
      </c>
      <c r="I21" s="13" t="s">
        <v>211</v>
      </c>
    </row>
    <row r="22" customFormat="false" ht="35.05" hidden="false" customHeight="false" outlineLevel="0" collapsed="false">
      <c r="A22" s="15" t="s">
        <v>212</v>
      </c>
      <c r="B22" s="15" t="s">
        <v>94</v>
      </c>
      <c r="C22" s="15" t="s">
        <v>143</v>
      </c>
      <c r="D22" s="15" t="s">
        <v>213</v>
      </c>
      <c r="E22" s="16" t="s">
        <v>30</v>
      </c>
      <c r="F22" s="15" t="s">
        <v>55</v>
      </c>
      <c r="G22" s="15"/>
      <c r="H22" s="15" t="s">
        <v>214</v>
      </c>
      <c r="I22" s="15" t="s">
        <v>215</v>
      </c>
    </row>
    <row r="23" customFormat="false" ht="15" hidden="false" customHeight="false" outlineLevel="0" collapsed="false">
      <c r="A23" s="18" t="s">
        <v>216</v>
      </c>
      <c r="B23" s="19"/>
      <c r="C23" s="19"/>
      <c r="D23" s="19"/>
      <c r="E23" s="19"/>
      <c r="F23" s="19"/>
      <c r="G23" s="19"/>
      <c r="H23" s="19"/>
      <c r="I23" s="19"/>
    </row>
    <row r="24" customFormat="false" ht="15" hidden="false" customHeight="false" outlineLevel="0" collapsed="false">
      <c r="A24" s="13" t="s">
        <v>217</v>
      </c>
      <c r="B24" s="13" t="s">
        <v>85</v>
      </c>
      <c r="C24" s="13" t="s">
        <v>143</v>
      </c>
      <c r="D24" s="13" t="s">
        <v>218</v>
      </c>
      <c r="E24" s="16" t="s">
        <v>30</v>
      </c>
      <c r="F24" s="13" t="s">
        <v>49</v>
      </c>
      <c r="G24" s="13"/>
      <c r="H24" s="13" t="s">
        <v>219</v>
      </c>
      <c r="I24" s="13" t="s">
        <v>220</v>
      </c>
    </row>
    <row r="25" customFormat="false" ht="15" hidden="false" customHeight="false" outlineLevel="0" collapsed="false">
      <c r="A25" s="15" t="s">
        <v>221</v>
      </c>
      <c r="B25" s="15" t="s">
        <v>85</v>
      </c>
      <c r="C25" s="15" t="s">
        <v>143</v>
      </c>
      <c r="D25" s="15" t="s">
        <v>222</v>
      </c>
      <c r="E25" s="16" t="s">
        <v>30</v>
      </c>
      <c r="F25" s="15" t="s">
        <v>49</v>
      </c>
      <c r="G25" s="15"/>
      <c r="H25" s="15" t="s">
        <v>223</v>
      </c>
      <c r="I25" s="15" t="s">
        <v>224</v>
      </c>
    </row>
    <row r="26" customFormat="false" ht="23.85" hidden="false" customHeight="false" outlineLevel="0" collapsed="false">
      <c r="A26" s="13" t="s">
        <v>225</v>
      </c>
      <c r="B26" s="13" t="s">
        <v>69</v>
      </c>
      <c r="C26" s="13" t="s">
        <v>143</v>
      </c>
      <c r="D26" s="13" t="s">
        <v>226</v>
      </c>
      <c r="E26" s="16" t="s">
        <v>30</v>
      </c>
      <c r="F26" s="13" t="s">
        <v>55</v>
      </c>
      <c r="G26" s="13"/>
      <c r="H26" s="13" t="s">
        <v>227</v>
      </c>
      <c r="I26" s="13" t="s">
        <v>228</v>
      </c>
    </row>
    <row r="27" customFormat="false" ht="15" hidden="false" customHeight="false" outlineLevel="0" collapsed="false">
      <c r="A27" s="15" t="s">
        <v>229</v>
      </c>
      <c r="B27" s="15" t="s">
        <v>79</v>
      </c>
      <c r="C27" s="15" t="s">
        <v>143</v>
      </c>
      <c r="D27" s="15" t="s">
        <v>230</v>
      </c>
      <c r="E27" s="16" t="s">
        <v>30</v>
      </c>
      <c r="F27" s="15" t="s">
        <v>55</v>
      </c>
      <c r="G27" s="15"/>
      <c r="H27" s="15" t="s">
        <v>231</v>
      </c>
      <c r="I27" s="15" t="s">
        <v>232</v>
      </c>
    </row>
    <row r="28" customFormat="false" ht="35.05" hidden="false" customHeight="false" outlineLevel="0" collapsed="false">
      <c r="A28" s="13" t="s">
        <v>233</v>
      </c>
      <c r="B28" s="13" t="s">
        <v>85</v>
      </c>
      <c r="C28" s="13" t="s">
        <v>143</v>
      </c>
      <c r="D28" s="13" t="s">
        <v>234</v>
      </c>
      <c r="E28" s="16" t="s">
        <v>30</v>
      </c>
      <c r="F28" s="13" t="s">
        <v>55</v>
      </c>
      <c r="G28" s="13"/>
      <c r="H28" s="13" t="s">
        <v>235</v>
      </c>
      <c r="I28" s="13" t="s">
        <v>236</v>
      </c>
    </row>
    <row r="29" customFormat="false" ht="35.05" hidden="false" customHeight="false" outlineLevel="0" collapsed="false">
      <c r="A29" s="15" t="s">
        <v>237</v>
      </c>
      <c r="B29" s="15" t="s">
        <v>152</v>
      </c>
      <c r="C29" s="15" t="s">
        <v>143</v>
      </c>
      <c r="D29" s="15" t="s">
        <v>238</v>
      </c>
      <c r="E29" s="16" t="s">
        <v>30</v>
      </c>
      <c r="F29" s="15" t="s">
        <v>55</v>
      </c>
      <c r="G29" s="15"/>
      <c r="H29" s="15" t="s">
        <v>239</v>
      </c>
      <c r="I29" s="15" t="s">
        <v>240</v>
      </c>
    </row>
    <row r="30" customFormat="false" ht="15" hidden="false" customHeight="false" outlineLevel="0" collapsed="false">
      <c r="A30" s="13" t="s">
        <v>241</v>
      </c>
      <c r="B30" s="13" t="s">
        <v>85</v>
      </c>
      <c r="C30" s="13" t="s">
        <v>143</v>
      </c>
      <c r="D30" s="13" t="s">
        <v>242</v>
      </c>
      <c r="E30" s="16" t="s">
        <v>30</v>
      </c>
      <c r="F30" s="13" t="s">
        <v>49</v>
      </c>
      <c r="G30" s="13"/>
      <c r="H30" s="13" t="s">
        <v>243</v>
      </c>
      <c r="I30" s="13" t="s">
        <v>244</v>
      </c>
    </row>
    <row r="31" customFormat="false" ht="15" hidden="false" customHeight="false" outlineLevel="0" collapsed="false">
      <c r="A31" s="15" t="s">
        <v>245</v>
      </c>
      <c r="B31" s="15" t="s">
        <v>94</v>
      </c>
      <c r="C31" s="15" t="s">
        <v>143</v>
      </c>
      <c r="D31" s="15" t="s">
        <v>246</v>
      </c>
      <c r="E31" s="16" t="s">
        <v>30</v>
      </c>
      <c r="F31" s="15" t="s">
        <v>49</v>
      </c>
      <c r="G31" s="15"/>
      <c r="H31" s="15" t="s">
        <v>247</v>
      </c>
      <c r="I31" s="15" t="s">
        <v>248</v>
      </c>
    </row>
    <row r="32" customFormat="false" ht="15" hidden="false" customHeight="false" outlineLevel="0" collapsed="false">
      <c r="A32" s="13" t="s">
        <v>249</v>
      </c>
      <c r="B32" s="13" t="s">
        <v>94</v>
      </c>
      <c r="C32" s="13" t="s">
        <v>143</v>
      </c>
      <c r="D32" s="13" t="s">
        <v>246</v>
      </c>
      <c r="E32" s="16" t="s">
        <v>30</v>
      </c>
      <c r="F32" s="13" t="s">
        <v>49</v>
      </c>
      <c r="G32" s="13"/>
      <c r="H32" s="13" t="s">
        <v>247</v>
      </c>
      <c r="I32" s="13" t="s">
        <v>250</v>
      </c>
    </row>
    <row r="33" customFormat="false" ht="15" hidden="false" customHeight="false" outlineLevel="0" collapsed="false">
      <c r="A33" s="15" t="s">
        <v>251</v>
      </c>
      <c r="B33" s="15" t="s">
        <v>85</v>
      </c>
      <c r="C33" s="15" t="s">
        <v>143</v>
      </c>
      <c r="D33" s="15" t="s">
        <v>252</v>
      </c>
      <c r="E33" s="17" t="s">
        <v>31</v>
      </c>
      <c r="F33" s="15" t="s">
        <v>55</v>
      </c>
      <c r="G33" s="15"/>
      <c r="H33" s="15" t="s">
        <v>253</v>
      </c>
      <c r="I33" s="15" t="s">
        <v>254</v>
      </c>
    </row>
    <row r="34" customFormat="false" ht="15" hidden="false" customHeight="false" outlineLevel="0" collapsed="false">
      <c r="A34" s="13" t="s">
        <v>255</v>
      </c>
      <c r="B34" s="13" t="s">
        <v>94</v>
      </c>
      <c r="C34" s="13" t="s">
        <v>143</v>
      </c>
      <c r="D34" s="13" t="s">
        <v>256</v>
      </c>
      <c r="E34" s="16" t="s">
        <v>30</v>
      </c>
      <c r="F34" s="13" t="s">
        <v>55</v>
      </c>
      <c r="G34" s="13"/>
      <c r="H34" s="13" t="s">
        <v>257</v>
      </c>
      <c r="I34" s="13" t="s">
        <v>258</v>
      </c>
    </row>
    <row r="35" customFormat="false" ht="15" hidden="false" customHeight="false" outlineLevel="0" collapsed="false">
      <c r="A35" s="18" t="s">
        <v>259</v>
      </c>
      <c r="B35" s="19"/>
      <c r="C35" s="19"/>
      <c r="D35" s="19"/>
      <c r="E35" s="19"/>
      <c r="F35" s="19"/>
      <c r="G35" s="19"/>
      <c r="H35" s="19"/>
      <c r="I35" s="19"/>
    </row>
    <row r="36" customFormat="false" ht="15" hidden="false" customHeight="false" outlineLevel="0" collapsed="false">
      <c r="A36" s="13" t="s">
        <v>260</v>
      </c>
      <c r="B36" s="13" t="s">
        <v>79</v>
      </c>
      <c r="C36" s="13" t="s">
        <v>143</v>
      </c>
      <c r="D36" s="13" t="s">
        <v>261</v>
      </c>
      <c r="E36" s="16" t="s">
        <v>30</v>
      </c>
      <c r="F36" s="13" t="s">
        <v>49</v>
      </c>
      <c r="G36" s="13"/>
      <c r="H36" s="13" t="s">
        <v>262</v>
      </c>
      <c r="I36" s="13" t="s">
        <v>263</v>
      </c>
    </row>
    <row r="37" customFormat="false" ht="15" hidden="false" customHeight="false" outlineLevel="0" collapsed="false">
      <c r="A37" s="15" t="s">
        <v>264</v>
      </c>
      <c r="B37" s="15" t="s">
        <v>85</v>
      </c>
      <c r="C37" s="15" t="s">
        <v>143</v>
      </c>
      <c r="D37" s="15" t="s">
        <v>261</v>
      </c>
      <c r="E37" s="16" t="s">
        <v>30</v>
      </c>
      <c r="F37" s="15" t="s">
        <v>49</v>
      </c>
      <c r="G37" s="15"/>
      <c r="H37" s="15" t="s">
        <v>262</v>
      </c>
      <c r="I37" s="15" t="s">
        <v>265</v>
      </c>
    </row>
    <row r="38" customFormat="false" ht="15" hidden="false" customHeight="false" outlineLevel="0" collapsed="false">
      <c r="A38" s="13" t="s">
        <v>266</v>
      </c>
      <c r="B38" s="13" t="s">
        <v>79</v>
      </c>
      <c r="C38" s="13" t="s">
        <v>143</v>
      </c>
      <c r="D38" s="13" t="s">
        <v>261</v>
      </c>
      <c r="E38" s="16" t="s">
        <v>30</v>
      </c>
      <c r="F38" s="13" t="s">
        <v>49</v>
      </c>
      <c r="G38" s="13"/>
      <c r="H38" s="13" t="s">
        <v>262</v>
      </c>
      <c r="I38" s="13" t="s">
        <v>267</v>
      </c>
    </row>
    <row r="39" customFormat="false" ht="15" hidden="false" customHeight="false" outlineLevel="0" collapsed="false">
      <c r="A39" s="15" t="s">
        <v>268</v>
      </c>
      <c r="B39" s="15" t="s">
        <v>74</v>
      </c>
      <c r="C39" s="15" t="s">
        <v>143</v>
      </c>
      <c r="D39" s="15" t="s">
        <v>261</v>
      </c>
      <c r="E39" s="16" t="s">
        <v>30</v>
      </c>
      <c r="F39" s="15" t="s">
        <v>49</v>
      </c>
      <c r="G39" s="15"/>
      <c r="H39" s="15" t="s">
        <v>269</v>
      </c>
      <c r="I39" s="15" t="s">
        <v>270</v>
      </c>
    </row>
    <row r="40" customFormat="false" ht="15" hidden="false" customHeight="false" outlineLevel="0" collapsed="false">
      <c r="A40" s="13" t="s">
        <v>271</v>
      </c>
      <c r="B40" s="13" t="s">
        <v>79</v>
      </c>
      <c r="C40" s="13" t="s">
        <v>143</v>
      </c>
      <c r="D40" s="13" t="s">
        <v>272</v>
      </c>
      <c r="E40" s="16" t="s">
        <v>30</v>
      </c>
      <c r="F40" s="13" t="s">
        <v>49</v>
      </c>
      <c r="G40" s="13"/>
      <c r="H40" s="13" t="s">
        <v>273</v>
      </c>
      <c r="I40" s="13" t="s">
        <v>274</v>
      </c>
    </row>
    <row r="41" customFormat="false" ht="15" hidden="false" customHeight="false" outlineLevel="0" collapsed="false">
      <c r="A41" s="15" t="s">
        <v>275</v>
      </c>
      <c r="B41" s="15" t="s">
        <v>79</v>
      </c>
      <c r="C41" s="15" t="s">
        <v>143</v>
      </c>
      <c r="D41" s="15" t="s">
        <v>276</v>
      </c>
      <c r="E41" s="16" t="s">
        <v>30</v>
      </c>
      <c r="F41" s="15" t="s">
        <v>49</v>
      </c>
      <c r="G41" s="15"/>
      <c r="H41" s="15" t="s">
        <v>277</v>
      </c>
      <c r="I41" s="15" t="s">
        <v>278</v>
      </c>
    </row>
    <row r="42" customFormat="false" ht="15" hidden="false" customHeight="false" outlineLevel="0" collapsed="false">
      <c r="A42" s="13" t="s">
        <v>279</v>
      </c>
      <c r="B42" s="13" t="s">
        <v>69</v>
      </c>
      <c r="C42" s="13" t="s">
        <v>143</v>
      </c>
      <c r="D42" s="13" t="s">
        <v>280</v>
      </c>
      <c r="E42" s="16" t="s">
        <v>30</v>
      </c>
      <c r="F42" s="13" t="s">
        <v>55</v>
      </c>
      <c r="G42" s="13"/>
      <c r="H42" s="13" t="s">
        <v>281</v>
      </c>
      <c r="I42" s="13" t="s">
        <v>282</v>
      </c>
    </row>
    <row r="43" customFormat="false" ht="23.85" hidden="false" customHeight="false" outlineLevel="0" collapsed="false">
      <c r="A43" s="15" t="s">
        <v>283</v>
      </c>
      <c r="B43" s="15" t="s">
        <v>74</v>
      </c>
      <c r="C43" s="15" t="s">
        <v>143</v>
      </c>
      <c r="D43" s="15" t="s">
        <v>284</v>
      </c>
      <c r="E43" s="16" t="s">
        <v>30</v>
      </c>
      <c r="F43" s="15" t="s">
        <v>49</v>
      </c>
      <c r="G43" s="15"/>
      <c r="H43" s="15" t="s">
        <v>285</v>
      </c>
      <c r="I43" s="15" t="s">
        <v>286</v>
      </c>
    </row>
    <row r="44" customFormat="false" ht="15" hidden="false" customHeight="false" outlineLevel="0" collapsed="false">
      <c r="A44" s="13" t="s">
        <v>287</v>
      </c>
      <c r="B44" s="13" t="s">
        <v>79</v>
      </c>
      <c r="C44" s="13" t="s">
        <v>143</v>
      </c>
      <c r="D44" s="13" t="s">
        <v>288</v>
      </c>
      <c r="E44" s="16" t="s">
        <v>30</v>
      </c>
      <c r="F44" s="13" t="s">
        <v>55</v>
      </c>
      <c r="G44" s="13"/>
      <c r="H44" s="13" t="s">
        <v>289</v>
      </c>
      <c r="I44" s="13" t="s">
        <v>290</v>
      </c>
    </row>
    <row r="45" customFormat="false" ht="15" hidden="false" customHeight="false" outlineLevel="0" collapsed="false">
      <c r="A45" s="18" t="s">
        <v>291</v>
      </c>
      <c r="B45" s="19"/>
      <c r="C45" s="19"/>
      <c r="D45" s="19"/>
      <c r="E45" s="19"/>
      <c r="F45" s="19"/>
      <c r="G45" s="19"/>
      <c r="H45" s="19"/>
      <c r="I45" s="19"/>
    </row>
    <row r="46" customFormat="false" ht="15" hidden="false" customHeight="false" outlineLevel="0" collapsed="false">
      <c r="A46" s="13" t="s">
        <v>292</v>
      </c>
      <c r="B46" s="13" t="s">
        <v>94</v>
      </c>
      <c r="C46" s="13" t="s">
        <v>143</v>
      </c>
      <c r="D46" s="13" t="s">
        <v>293</v>
      </c>
      <c r="E46" s="16" t="s">
        <v>30</v>
      </c>
      <c r="F46" s="13" t="s">
        <v>55</v>
      </c>
      <c r="G46" s="13"/>
      <c r="H46" s="13" t="s">
        <v>294</v>
      </c>
      <c r="I46" s="13" t="s">
        <v>295</v>
      </c>
    </row>
    <row r="47" customFormat="false" ht="35.05" hidden="false" customHeight="false" outlineLevel="0" collapsed="false">
      <c r="A47" s="15" t="s">
        <v>296</v>
      </c>
      <c r="B47" s="15" t="s">
        <v>94</v>
      </c>
      <c r="C47" s="15" t="s">
        <v>143</v>
      </c>
      <c r="D47" s="15" t="s">
        <v>297</v>
      </c>
      <c r="E47" s="16" t="s">
        <v>30</v>
      </c>
      <c r="F47" s="15" t="s">
        <v>55</v>
      </c>
      <c r="G47" s="15"/>
      <c r="H47" s="15" t="s">
        <v>298</v>
      </c>
      <c r="I47" s="15" t="s">
        <v>299</v>
      </c>
    </row>
    <row r="48" customFormat="false" ht="35.05" hidden="false" customHeight="false" outlineLevel="0" collapsed="false">
      <c r="A48" s="13" t="s">
        <v>300</v>
      </c>
      <c r="B48" s="13" t="s">
        <v>94</v>
      </c>
      <c r="C48" s="13" t="s">
        <v>143</v>
      </c>
      <c r="D48" s="13" t="s">
        <v>301</v>
      </c>
      <c r="E48" s="17" t="s">
        <v>31</v>
      </c>
      <c r="F48" s="13" t="s">
        <v>49</v>
      </c>
      <c r="G48" s="13"/>
      <c r="H48" s="13" t="s">
        <v>302</v>
      </c>
      <c r="I48" s="13" t="s">
        <v>303</v>
      </c>
    </row>
    <row r="49" customFormat="false" ht="23.85" hidden="false" customHeight="false" outlineLevel="0" collapsed="false">
      <c r="A49" s="15" t="s">
        <v>304</v>
      </c>
      <c r="B49" s="15" t="s">
        <v>85</v>
      </c>
      <c r="C49" s="15" t="s">
        <v>143</v>
      </c>
      <c r="D49" s="15" t="s">
        <v>305</v>
      </c>
      <c r="E49" s="16" t="s">
        <v>30</v>
      </c>
      <c r="F49" s="15" t="s">
        <v>49</v>
      </c>
      <c r="G49" s="15"/>
      <c r="H49" s="15" t="s">
        <v>306</v>
      </c>
      <c r="I49" s="15" t="s">
        <v>307</v>
      </c>
    </row>
    <row r="50" customFormat="false" ht="15" hidden="false" customHeight="false" outlineLevel="0" collapsed="false">
      <c r="A50" s="13" t="s">
        <v>308</v>
      </c>
      <c r="B50" s="13" t="s">
        <v>79</v>
      </c>
      <c r="C50" s="13" t="s">
        <v>143</v>
      </c>
      <c r="D50" s="13" t="s">
        <v>309</v>
      </c>
      <c r="E50" s="16" t="s">
        <v>30</v>
      </c>
      <c r="F50" s="13" t="s">
        <v>55</v>
      </c>
      <c r="G50" s="13"/>
      <c r="H50" s="13" t="s">
        <v>310</v>
      </c>
      <c r="I50" s="13" t="s">
        <v>311</v>
      </c>
    </row>
    <row r="51" customFormat="false" ht="15" hidden="false" customHeight="false" outlineLevel="0" collapsed="false">
      <c r="A51" s="15" t="s">
        <v>312</v>
      </c>
      <c r="B51" s="15" t="s">
        <v>313</v>
      </c>
      <c r="C51" s="15" t="s">
        <v>143</v>
      </c>
      <c r="D51" s="15" t="s">
        <v>309</v>
      </c>
      <c r="E51" s="16" t="s">
        <v>30</v>
      </c>
      <c r="F51" s="15" t="s">
        <v>49</v>
      </c>
      <c r="G51" s="15"/>
      <c r="H51" s="15" t="s">
        <v>314</v>
      </c>
      <c r="I51" s="15" t="s">
        <v>315</v>
      </c>
    </row>
    <row r="52" customFormat="false" ht="15" hidden="false" customHeight="false" outlineLevel="0" collapsed="false">
      <c r="A52" s="13" t="s">
        <v>316</v>
      </c>
      <c r="B52" s="13" t="s">
        <v>94</v>
      </c>
      <c r="C52" s="13" t="s">
        <v>143</v>
      </c>
      <c r="D52" s="13" t="s">
        <v>317</v>
      </c>
      <c r="E52" s="16" t="s">
        <v>30</v>
      </c>
      <c r="F52" s="13" t="s">
        <v>55</v>
      </c>
      <c r="G52" s="13"/>
      <c r="H52" s="13" t="s">
        <v>318</v>
      </c>
      <c r="I52" s="13" t="s">
        <v>319</v>
      </c>
    </row>
    <row r="53" customFormat="false" ht="15" hidden="false" customHeight="false" outlineLevel="0" collapsed="false">
      <c r="A53" s="15" t="s">
        <v>320</v>
      </c>
      <c r="B53" s="15" t="s">
        <v>94</v>
      </c>
      <c r="C53" s="15" t="s">
        <v>143</v>
      </c>
      <c r="D53" s="15" t="s">
        <v>309</v>
      </c>
      <c r="E53" s="16" t="s">
        <v>30</v>
      </c>
      <c r="F53" s="15" t="s">
        <v>49</v>
      </c>
      <c r="G53" s="15"/>
      <c r="H53" s="15" t="s">
        <v>321</v>
      </c>
      <c r="I53" s="15" t="s">
        <v>322</v>
      </c>
    </row>
    <row r="54" customFormat="false" ht="23.85" hidden="false" customHeight="false" outlineLevel="0" collapsed="false">
      <c r="A54" s="13" t="s">
        <v>323</v>
      </c>
      <c r="B54" s="13" t="s">
        <v>94</v>
      </c>
      <c r="C54" s="13" t="s">
        <v>143</v>
      </c>
      <c r="D54" s="13" t="s">
        <v>324</v>
      </c>
      <c r="E54" s="16" t="s">
        <v>30</v>
      </c>
      <c r="F54" s="13" t="s">
        <v>55</v>
      </c>
      <c r="G54" s="13"/>
      <c r="H54" s="13" t="s">
        <v>325</v>
      </c>
      <c r="I54" s="13" t="s">
        <v>326</v>
      </c>
    </row>
    <row r="55" customFormat="false" ht="15" hidden="false" customHeight="false" outlineLevel="0" collapsed="false">
      <c r="A55" s="15" t="s">
        <v>327</v>
      </c>
      <c r="B55" s="15" t="s">
        <v>94</v>
      </c>
      <c r="C55" s="15" t="s">
        <v>143</v>
      </c>
      <c r="D55" s="15" t="s">
        <v>324</v>
      </c>
      <c r="E55" s="16" t="s">
        <v>30</v>
      </c>
      <c r="F55" s="15" t="s">
        <v>49</v>
      </c>
      <c r="G55" s="15"/>
      <c r="H55" s="15" t="s">
        <v>328</v>
      </c>
      <c r="I55" s="15" t="s">
        <v>329</v>
      </c>
    </row>
    <row r="56" customFormat="false" ht="15" hidden="false" customHeight="false" outlineLevel="0" collapsed="false">
      <c r="A56" s="13" t="s">
        <v>330</v>
      </c>
      <c r="B56" s="13" t="s">
        <v>46</v>
      </c>
      <c r="C56" s="13" t="s">
        <v>143</v>
      </c>
      <c r="D56" s="13" t="s">
        <v>331</v>
      </c>
      <c r="E56" s="16" t="s">
        <v>30</v>
      </c>
      <c r="F56" s="13" t="s">
        <v>49</v>
      </c>
      <c r="G56" s="13"/>
      <c r="H56" s="13" t="s">
        <v>332</v>
      </c>
      <c r="I56" s="13" t="s">
        <v>333</v>
      </c>
    </row>
    <row r="57" customFormat="false" ht="15" hidden="false" customHeight="false" outlineLevel="0" collapsed="false">
      <c r="A57" s="15" t="s">
        <v>334</v>
      </c>
      <c r="B57" s="15" t="s">
        <v>335</v>
      </c>
      <c r="C57" s="15" t="s">
        <v>143</v>
      </c>
      <c r="D57" s="15" t="s">
        <v>324</v>
      </c>
      <c r="E57" s="16" t="s">
        <v>30</v>
      </c>
      <c r="F57" s="15" t="s">
        <v>49</v>
      </c>
      <c r="G57" s="15"/>
      <c r="H57" s="15" t="s">
        <v>336</v>
      </c>
      <c r="I57" s="15" t="s">
        <v>337</v>
      </c>
    </row>
    <row r="58" customFormat="false" ht="15" hidden="false" customHeight="false" outlineLevel="0" collapsed="false">
      <c r="A58" s="13" t="s">
        <v>338</v>
      </c>
      <c r="B58" s="13" t="s">
        <v>46</v>
      </c>
      <c r="C58" s="13" t="s">
        <v>143</v>
      </c>
      <c r="D58" s="13" t="s">
        <v>339</v>
      </c>
      <c r="E58" s="16" t="s">
        <v>30</v>
      </c>
      <c r="F58" s="13" t="s">
        <v>49</v>
      </c>
      <c r="G58" s="13"/>
      <c r="H58" s="13" t="s">
        <v>340</v>
      </c>
      <c r="I58" s="13" t="s">
        <v>341</v>
      </c>
    </row>
    <row r="59" customFormat="false" ht="15" hidden="false" customHeight="false" outlineLevel="0" collapsed="false">
      <c r="A59" s="15" t="s">
        <v>342</v>
      </c>
      <c r="B59" s="15" t="s">
        <v>46</v>
      </c>
      <c r="C59" s="15" t="s">
        <v>143</v>
      </c>
      <c r="D59" s="15" t="s">
        <v>339</v>
      </c>
      <c r="E59" s="16" t="s">
        <v>30</v>
      </c>
      <c r="F59" s="15" t="s">
        <v>55</v>
      </c>
      <c r="G59" s="15"/>
      <c r="H59" s="15" t="s">
        <v>343</v>
      </c>
      <c r="I59" s="15" t="s">
        <v>344</v>
      </c>
    </row>
    <row r="60" customFormat="false" ht="15" hidden="false" customHeight="false" outlineLevel="0" collapsed="false">
      <c r="A60" s="18" t="s">
        <v>345</v>
      </c>
      <c r="B60" s="19"/>
      <c r="C60" s="19"/>
      <c r="D60" s="19"/>
      <c r="E60" s="19"/>
      <c r="F60" s="19"/>
      <c r="G60" s="19"/>
      <c r="H60" s="19"/>
      <c r="I60" s="19"/>
    </row>
    <row r="61" customFormat="false" ht="15" hidden="false" customHeight="false" outlineLevel="0" collapsed="false">
      <c r="A61" s="13" t="s">
        <v>346</v>
      </c>
      <c r="B61" s="13" t="s">
        <v>94</v>
      </c>
      <c r="C61" s="13" t="s">
        <v>143</v>
      </c>
      <c r="D61" s="13" t="s">
        <v>347</v>
      </c>
      <c r="E61" s="16" t="s">
        <v>30</v>
      </c>
      <c r="F61" s="13" t="s">
        <v>55</v>
      </c>
      <c r="G61" s="13" t="s">
        <v>81</v>
      </c>
      <c r="H61" s="13" t="s">
        <v>348</v>
      </c>
      <c r="I61" s="13" t="s">
        <v>349</v>
      </c>
    </row>
    <row r="62" customFormat="false" ht="15" hidden="false" customHeight="false" outlineLevel="0" collapsed="false">
      <c r="A62" s="15" t="s">
        <v>350</v>
      </c>
      <c r="B62" s="15" t="s">
        <v>69</v>
      </c>
      <c r="C62" s="15" t="s">
        <v>60</v>
      </c>
      <c r="D62" s="15" t="s">
        <v>347</v>
      </c>
      <c r="E62" s="16" t="s">
        <v>30</v>
      </c>
      <c r="F62" s="15" t="s">
        <v>49</v>
      </c>
      <c r="G62" s="15" t="s">
        <v>81</v>
      </c>
      <c r="H62" s="15" t="s">
        <v>351</v>
      </c>
      <c r="I62" s="15" t="s">
        <v>352</v>
      </c>
    </row>
    <row r="63" customFormat="false" ht="15" hidden="false" customHeight="false" outlineLevel="0" collapsed="false">
      <c r="A63" s="13" t="s">
        <v>353</v>
      </c>
      <c r="B63" s="13" t="s">
        <v>152</v>
      </c>
      <c r="C63" s="13" t="s">
        <v>143</v>
      </c>
      <c r="D63" s="13" t="s">
        <v>354</v>
      </c>
      <c r="E63" s="16" t="s">
        <v>30</v>
      </c>
      <c r="F63" s="13" t="s">
        <v>49</v>
      </c>
      <c r="G63" s="13" t="s">
        <v>81</v>
      </c>
      <c r="H63" s="13" t="s">
        <v>355</v>
      </c>
      <c r="I63" s="13" t="s">
        <v>356</v>
      </c>
    </row>
    <row r="64" customFormat="false" ht="15" hidden="false" customHeight="false" outlineLevel="0" collapsed="false">
      <c r="A64" s="15" t="s">
        <v>357</v>
      </c>
      <c r="B64" s="15" t="s">
        <v>152</v>
      </c>
      <c r="C64" s="15" t="s">
        <v>60</v>
      </c>
      <c r="D64" s="15" t="s">
        <v>358</v>
      </c>
      <c r="E64" s="17" t="s">
        <v>31</v>
      </c>
      <c r="F64" s="15" t="s">
        <v>55</v>
      </c>
      <c r="G64" s="15" t="s">
        <v>359</v>
      </c>
      <c r="H64" s="15" t="s">
        <v>360</v>
      </c>
      <c r="I64" s="15" t="s">
        <v>361</v>
      </c>
    </row>
    <row r="65" customFormat="false" ht="35.05" hidden="false" customHeight="false" outlineLevel="0" collapsed="false">
      <c r="A65" s="13" t="s">
        <v>362</v>
      </c>
      <c r="B65" s="13" t="s">
        <v>152</v>
      </c>
      <c r="C65" s="13" t="s">
        <v>60</v>
      </c>
      <c r="D65" s="13" t="s">
        <v>363</v>
      </c>
      <c r="E65" s="17" t="s">
        <v>31</v>
      </c>
      <c r="F65" s="13" t="s">
        <v>55</v>
      </c>
      <c r="G65" s="13" t="s">
        <v>359</v>
      </c>
      <c r="H65" s="13" t="s">
        <v>364</v>
      </c>
      <c r="I65" s="13" t="s">
        <v>365</v>
      </c>
    </row>
    <row r="66" customFormat="false" ht="15" hidden="false" customHeight="false" outlineLevel="0" collapsed="false">
      <c r="A66" s="18" t="s">
        <v>366</v>
      </c>
      <c r="B66" s="19"/>
      <c r="C66" s="19"/>
      <c r="D66" s="19"/>
      <c r="E66" s="19"/>
      <c r="F66" s="19"/>
      <c r="G66" s="19"/>
      <c r="H66" s="19"/>
      <c r="I66" s="19"/>
    </row>
    <row r="67" customFormat="false" ht="23.85" hidden="false" customHeight="false" outlineLevel="0" collapsed="false">
      <c r="A67" s="13" t="s">
        <v>367</v>
      </c>
      <c r="B67" s="13" t="s">
        <v>313</v>
      </c>
      <c r="C67" s="13" t="s">
        <v>143</v>
      </c>
      <c r="D67" s="13" t="s">
        <v>368</v>
      </c>
      <c r="E67" s="20" t="s">
        <v>32</v>
      </c>
      <c r="F67" s="13" t="s">
        <v>55</v>
      </c>
      <c r="G67" s="13" t="s">
        <v>81</v>
      </c>
      <c r="H67" s="13" t="s">
        <v>369</v>
      </c>
      <c r="I67" s="13" t="s">
        <v>370</v>
      </c>
    </row>
    <row r="68" customFormat="false" ht="15" hidden="false" customHeight="false" outlineLevel="0" collapsed="false">
      <c r="A68" s="15" t="s">
        <v>371</v>
      </c>
      <c r="B68" s="15" t="s">
        <v>46</v>
      </c>
      <c r="C68" s="15" t="s">
        <v>143</v>
      </c>
      <c r="D68" s="15" t="s">
        <v>372</v>
      </c>
      <c r="E68" s="20" t="s">
        <v>32</v>
      </c>
      <c r="F68" s="15" t="s">
        <v>162</v>
      </c>
      <c r="G68" s="15" t="s">
        <v>81</v>
      </c>
      <c r="H68" s="15" t="s">
        <v>373</v>
      </c>
      <c r="I68" s="15" t="s">
        <v>374</v>
      </c>
    </row>
    <row r="69" customFormat="false" ht="23.85" hidden="false" customHeight="false" outlineLevel="0" collapsed="false">
      <c r="A69" s="13" t="s">
        <v>375</v>
      </c>
      <c r="B69" s="13" t="s">
        <v>313</v>
      </c>
      <c r="C69" s="13" t="s">
        <v>143</v>
      </c>
      <c r="D69" s="13" t="s">
        <v>376</v>
      </c>
      <c r="E69" s="20" t="s">
        <v>32</v>
      </c>
      <c r="F69" s="13" t="s">
        <v>49</v>
      </c>
      <c r="G69" s="13"/>
      <c r="H69" s="13" t="s">
        <v>377</v>
      </c>
      <c r="I69" s="13" t="s">
        <v>378</v>
      </c>
    </row>
    <row r="70" customFormat="false" ht="23.85" hidden="false" customHeight="false" outlineLevel="0" collapsed="false">
      <c r="A70" s="15" t="s">
        <v>379</v>
      </c>
      <c r="B70" s="15" t="s">
        <v>74</v>
      </c>
      <c r="C70" s="15" t="s">
        <v>143</v>
      </c>
      <c r="D70" s="15" t="s">
        <v>380</v>
      </c>
      <c r="E70" s="16" t="s">
        <v>30</v>
      </c>
      <c r="F70" s="15" t="s">
        <v>162</v>
      </c>
      <c r="G70" s="15" t="s">
        <v>81</v>
      </c>
      <c r="H70" s="15" t="s">
        <v>381</v>
      </c>
      <c r="I70" s="15" t="s">
        <v>382</v>
      </c>
    </row>
    <row r="71" customFormat="false" ht="23.85" hidden="false" customHeight="false" outlineLevel="0" collapsed="false">
      <c r="A71" s="13" t="s">
        <v>383</v>
      </c>
      <c r="B71" s="13" t="s">
        <v>69</v>
      </c>
      <c r="C71" s="13" t="s">
        <v>60</v>
      </c>
      <c r="D71" s="13" t="s">
        <v>384</v>
      </c>
      <c r="E71" s="20" t="s">
        <v>32</v>
      </c>
      <c r="F71" s="13" t="s">
        <v>49</v>
      </c>
      <c r="G71" s="13"/>
      <c r="H71" s="13" t="s">
        <v>385</v>
      </c>
      <c r="I71" s="13" t="s">
        <v>386</v>
      </c>
    </row>
    <row r="72" customFormat="false" ht="15" hidden="false" customHeight="false" outlineLevel="0" collapsed="false">
      <c r="A72" s="18" t="s">
        <v>387</v>
      </c>
      <c r="B72" s="19"/>
      <c r="C72" s="19"/>
      <c r="D72" s="19"/>
      <c r="E72" s="19"/>
      <c r="F72" s="19"/>
      <c r="G72" s="19"/>
      <c r="H72" s="19"/>
      <c r="I72" s="19"/>
    </row>
    <row r="73" customFormat="false" ht="15" hidden="false" customHeight="false" outlineLevel="0" collapsed="false">
      <c r="A73" s="13" t="s">
        <v>388</v>
      </c>
      <c r="B73" s="13" t="s">
        <v>69</v>
      </c>
      <c r="C73" s="13" t="s">
        <v>60</v>
      </c>
      <c r="D73" s="13" t="s">
        <v>389</v>
      </c>
      <c r="E73" s="16" t="s">
        <v>30</v>
      </c>
      <c r="F73" s="13" t="s">
        <v>55</v>
      </c>
      <c r="G73" s="13"/>
      <c r="H73" s="13" t="s">
        <v>390</v>
      </c>
      <c r="I73" s="13" t="s">
        <v>391</v>
      </c>
    </row>
    <row r="74" customFormat="false" ht="15" hidden="false" customHeight="false" outlineLevel="0" collapsed="false">
      <c r="A74" s="15" t="s">
        <v>392</v>
      </c>
      <c r="B74" s="15" t="s">
        <v>79</v>
      </c>
      <c r="C74" s="15" t="s">
        <v>143</v>
      </c>
      <c r="D74" s="15" t="s">
        <v>393</v>
      </c>
      <c r="E74" s="16" t="s">
        <v>30</v>
      </c>
      <c r="F74" s="15" t="s">
        <v>49</v>
      </c>
      <c r="G74" s="15"/>
      <c r="H74" s="15" t="s">
        <v>394</v>
      </c>
      <c r="I74" s="15" t="s">
        <v>395</v>
      </c>
    </row>
    <row r="75" customFormat="false" ht="23.85" hidden="false" customHeight="false" outlineLevel="0" collapsed="false">
      <c r="A75" s="13" t="s">
        <v>396</v>
      </c>
      <c r="B75" s="13" t="s">
        <v>69</v>
      </c>
      <c r="C75" s="13" t="s">
        <v>60</v>
      </c>
      <c r="D75" s="13" t="s">
        <v>389</v>
      </c>
      <c r="E75" s="16" t="s">
        <v>30</v>
      </c>
      <c r="F75" s="13" t="s">
        <v>162</v>
      </c>
      <c r="G75" s="13"/>
      <c r="H75" s="13" t="s">
        <v>373</v>
      </c>
      <c r="I75" s="13" t="s">
        <v>397</v>
      </c>
    </row>
    <row r="76" customFormat="false" ht="15" hidden="false" customHeight="false" outlineLevel="0" collapsed="false">
      <c r="A76" s="15" t="s">
        <v>398</v>
      </c>
      <c r="B76" s="15" t="s">
        <v>152</v>
      </c>
      <c r="C76" s="15" t="s">
        <v>60</v>
      </c>
      <c r="D76" s="15" t="s">
        <v>399</v>
      </c>
      <c r="E76" s="21" t="s">
        <v>33</v>
      </c>
      <c r="F76" s="15" t="s">
        <v>162</v>
      </c>
      <c r="G76" s="15" t="s">
        <v>56</v>
      </c>
      <c r="H76" s="15" t="s">
        <v>400</v>
      </c>
      <c r="I76" s="15" t="s">
        <v>401</v>
      </c>
    </row>
    <row r="77" customFormat="false" ht="15" hidden="false" customHeight="false" outlineLevel="0" collapsed="false">
      <c r="A77" s="13" t="s">
        <v>402</v>
      </c>
      <c r="B77" s="13" t="s">
        <v>335</v>
      </c>
      <c r="C77" s="13" t="s">
        <v>60</v>
      </c>
      <c r="D77" s="13" t="s">
        <v>399</v>
      </c>
      <c r="E77" s="21" t="s">
        <v>33</v>
      </c>
      <c r="F77" s="13" t="s">
        <v>162</v>
      </c>
      <c r="G77" s="13"/>
      <c r="H77" s="13" t="s">
        <v>403</v>
      </c>
      <c r="I77" s="13" t="s">
        <v>404</v>
      </c>
    </row>
    <row r="78" customFormat="false" ht="23.85" hidden="false" customHeight="false" outlineLevel="0" collapsed="false">
      <c r="A78" s="15" t="s">
        <v>405</v>
      </c>
      <c r="B78" s="15" t="s">
        <v>152</v>
      </c>
      <c r="C78" s="15" t="s">
        <v>60</v>
      </c>
      <c r="D78" s="15" t="s">
        <v>399</v>
      </c>
      <c r="E78" s="21" t="s">
        <v>33</v>
      </c>
      <c r="F78" s="15" t="s">
        <v>55</v>
      </c>
      <c r="G78" s="15" t="s">
        <v>359</v>
      </c>
      <c r="H78" s="15" t="s">
        <v>406</v>
      </c>
      <c r="I78" s="15" t="s">
        <v>407</v>
      </c>
    </row>
  </sheetData>
  <autoFilter ref="A4:I7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26"/>
    <col collapsed="false" customWidth="true" hidden="false" outlineLevel="0" max="4" min="4" style="0" width="72"/>
  </cols>
  <sheetData>
    <row r="1" customFormat="false" ht="19.7" hidden="false" customHeight="false" outlineLevel="0" collapsed="false">
      <c r="A1" s="1" t="s">
        <v>408</v>
      </c>
    </row>
    <row r="2" customFormat="false" ht="15" hidden="false" customHeight="false" outlineLevel="0" collapsed="false">
      <c r="A2" s="2" t="s">
        <v>409</v>
      </c>
    </row>
    <row r="4" customFormat="false" ht="27.75" hidden="false" customHeight="true" outlineLevel="0" collapsed="false">
      <c r="A4" s="12" t="s">
        <v>36</v>
      </c>
      <c r="B4" s="12" t="s">
        <v>37</v>
      </c>
      <c r="C4" s="12" t="s">
        <v>39</v>
      </c>
      <c r="D4" s="12" t="s">
        <v>44</v>
      </c>
    </row>
    <row r="5" customFormat="false" ht="15" hidden="false" customHeight="false" outlineLevel="0" collapsed="false">
      <c r="A5" s="13" t="s">
        <v>410</v>
      </c>
      <c r="B5" s="13" t="s">
        <v>46</v>
      </c>
      <c r="C5" s="13" t="s">
        <v>411</v>
      </c>
      <c r="D5" s="13" t="s">
        <v>412</v>
      </c>
    </row>
    <row r="6" customFormat="false" ht="15" hidden="false" customHeight="false" outlineLevel="0" collapsed="false">
      <c r="A6" s="15" t="s">
        <v>52</v>
      </c>
      <c r="B6" s="15" t="s">
        <v>46</v>
      </c>
      <c r="C6" s="15" t="s">
        <v>413</v>
      </c>
      <c r="D6" s="15" t="s">
        <v>414</v>
      </c>
    </row>
    <row r="7" customFormat="false" ht="23.85" hidden="false" customHeight="false" outlineLevel="0" collapsed="false">
      <c r="A7" s="13" t="s">
        <v>415</v>
      </c>
      <c r="B7" s="13" t="s">
        <v>94</v>
      </c>
      <c r="C7" s="13" t="s">
        <v>411</v>
      </c>
      <c r="D7" s="13" t="s">
        <v>416</v>
      </c>
    </row>
    <row r="8" customFormat="false" ht="15" hidden="false" customHeight="false" outlineLevel="0" collapsed="false">
      <c r="A8" s="15" t="s">
        <v>417</v>
      </c>
      <c r="B8" s="15" t="s">
        <v>335</v>
      </c>
      <c r="C8" s="15" t="s">
        <v>411</v>
      </c>
      <c r="D8" s="15" t="s">
        <v>418</v>
      </c>
    </row>
    <row r="9" customFormat="false" ht="15" hidden="false" customHeight="false" outlineLevel="0" collapsed="false">
      <c r="A9" s="13" t="s">
        <v>419</v>
      </c>
      <c r="B9" s="13" t="s">
        <v>94</v>
      </c>
      <c r="C9" s="13" t="s">
        <v>411</v>
      </c>
      <c r="D9" s="13" t="s">
        <v>420</v>
      </c>
    </row>
    <row r="10" customFormat="false" ht="15" hidden="false" customHeight="false" outlineLevel="0" collapsed="false">
      <c r="A10" s="15" t="s">
        <v>421</v>
      </c>
      <c r="B10" s="15" t="s">
        <v>422</v>
      </c>
      <c r="C10" s="15" t="s">
        <v>411</v>
      </c>
      <c r="D10" s="15" t="s">
        <v>423</v>
      </c>
    </row>
    <row r="11" customFormat="false" ht="15" hidden="false" customHeight="false" outlineLevel="0" collapsed="false">
      <c r="A11" s="13" t="s">
        <v>424</v>
      </c>
      <c r="B11" s="13" t="s">
        <v>94</v>
      </c>
      <c r="C11" s="13" t="s">
        <v>347</v>
      </c>
      <c r="D11" s="13" t="s">
        <v>425</v>
      </c>
    </row>
    <row r="12" customFormat="false" ht="15" hidden="false" customHeight="false" outlineLevel="0" collapsed="false">
      <c r="A12" s="15" t="s">
        <v>426</v>
      </c>
      <c r="B12" s="15" t="s">
        <v>46</v>
      </c>
      <c r="C12" s="15" t="s">
        <v>411</v>
      </c>
      <c r="D12" s="15" t="s">
        <v>427</v>
      </c>
    </row>
    <row r="13" customFormat="false" ht="15" hidden="false" customHeight="false" outlineLevel="0" collapsed="false">
      <c r="A13" s="13" t="s">
        <v>428</v>
      </c>
      <c r="B13" s="13" t="s">
        <v>46</v>
      </c>
      <c r="C13" s="13" t="s">
        <v>429</v>
      </c>
      <c r="D13" s="13" t="s">
        <v>430</v>
      </c>
    </row>
  </sheetData>
  <autoFilter ref="A4:D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4"/>
    <col collapsed="false" customWidth="true" hidden="false" outlineLevel="0" max="3" min="3" style="0" width="26"/>
    <col collapsed="false" customWidth="true" hidden="false" outlineLevel="0" max="4" min="4" style="0" width="60"/>
  </cols>
  <sheetData>
    <row r="1" customFormat="false" ht="19.7" hidden="false" customHeight="false" outlineLevel="0" collapsed="false">
      <c r="A1" s="1" t="s">
        <v>431</v>
      </c>
    </row>
    <row r="2" customFormat="false" ht="15" hidden="false" customHeight="false" outlineLevel="0" collapsed="false">
      <c r="A2" s="2" t="s">
        <v>432</v>
      </c>
    </row>
    <row r="4" customFormat="false" ht="27.75" hidden="false" customHeight="true" outlineLevel="0" collapsed="false">
      <c r="A4" s="12" t="s">
        <v>433</v>
      </c>
      <c r="B4" s="12" t="s">
        <v>434</v>
      </c>
      <c r="C4" s="12" t="s">
        <v>435</v>
      </c>
      <c r="D4" s="12" t="s">
        <v>436</v>
      </c>
    </row>
    <row r="5" customFormat="false" ht="15" hidden="false" customHeight="false" outlineLevel="0" collapsed="false">
      <c r="A5" s="13" t="s">
        <v>437</v>
      </c>
      <c r="B5" s="13" t="s">
        <v>438</v>
      </c>
      <c r="C5" s="13" t="s">
        <v>52</v>
      </c>
      <c r="D5" s="13" t="s">
        <v>439</v>
      </c>
    </row>
    <row r="6" customFormat="false" ht="15" hidden="false" customHeight="false" outlineLevel="0" collapsed="false">
      <c r="A6" s="15" t="s">
        <v>437</v>
      </c>
      <c r="B6" s="15" t="s">
        <v>440</v>
      </c>
      <c r="C6" s="15" t="s">
        <v>264</v>
      </c>
      <c r="D6" s="15" t="s">
        <v>441</v>
      </c>
    </row>
    <row r="7" customFormat="false" ht="15" hidden="false" customHeight="false" outlineLevel="0" collapsed="false">
      <c r="A7" s="13" t="s">
        <v>437</v>
      </c>
      <c r="B7" s="13" t="s">
        <v>442</v>
      </c>
      <c r="C7" s="13" t="s">
        <v>260</v>
      </c>
      <c r="D7" s="13" t="s">
        <v>443</v>
      </c>
    </row>
    <row r="8" customFormat="false" ht="15" hidden="false" customHeight="false" outlineLevel="0" collapsed="false">
      <c r="A8" s="15" t="s">
        <v>437</v>
      </c>
      <c r="B8" s="15" t="s">
        <v>444</v>
      </c>
      <c r="C8" s="15" t="s">
        <v>266</v>
      </c>
      <c r="D8" s="15" t="s">
        <v>445</v>
      </c>
    </row>
    <row r="9" customFormat="false" ht="23.85" hidden="false" customHeight="false" outlineLevel="0" collapsed="false">
      <c r="A9" s="13" t="s">
        <v>446</v>
      </c>
      <c r="B9" s="13" t="s">
        <v>447</v>
      </c>
      <c r="C9" s="13" t="s">
        <v>268</v>
      </c>
      <c r="D9" s="13" t="s">
        <v>270</v>
      </c>
    </row>
    <row r="10" customFormat="false" ht="15" hidden="false" customHeight="false" outlineLevel="0" collapsed="false">
      <c r="A10" s="15" t="s">
        <v>448</v>
      </c>
      <c r="B10" s="15" t="s">
        <v>449</v>
      </c>
      <c r="C10" s="15" t="s">
        <v>283</v>
      </c>
      <c r="D10" s="15" t="s">
        <v>450</v>
      </c>
    </row>
    <row r="11" customFormat="false" ht="15" hidden="false" customHeight="false" outlineLevel="0" collapsed="false">
      <c r="A11" s="13" t="s">
        <v>451</v>
      </c>
      <c r="B11" s="13" t="s">
        <v>271</v>
      </c>
      <c r="C11" s="13" t="s">
        <v>271</v>
      </c>
      <c r="D11" s="13" t="s">
        <v>452</v>
      </c>
    </row>
    <row r="12" customFormat="false" ht="23.85" hidden="false" customHeight="false" outlineLevel="0" collapsed="false">
      <c r="A12" s="15" t="s">
        <v>453</v>
      </c>
      <c r="B12" s="15" t="s">
        <v>454</v>
      </c>
      <c r="C12" s="15" t="s">
        <v>455</v>
      </c>
      <c r="D12" s="15" t="s">
        <v>456</v>
      </c>
    </row>
    <row r="13" customFormat="false" ht="15" hidden="false" customHeight="false" outlineLevel="0" collapsed="false">
      <c r="A13" s="13" t="s">
        <v>453</v>
      </c>
      <c r="B13" s="13" t="s">
        <v>457</v>
      </c>
      <c r="C13" s="13" t="s">
        <v>458</v>
      </c>
      <c r="D13" s="13" t="s">
        <v>459</v>
      </c>
    </row>
    <row r="14" customFormat="false" ht="46.25" hidden="false" customHeight="false" outlineLevel="0" collapsed="false">
      <c r="A14" s="15" t="s">
        <v>453</v>
      </c>
      <c r="B14" s="15" t="s">
        <v>460</v>
      </c>
      <c r="C14" s="15" t="s">
        <v>461</v>
      </c>
      <c r="D14" s="15" t="s">
        <v>462</v>
      </c>
    </row>
    <row r="15" customFormat="false" ht="15" hidden="false" customHeight="false" outlineLevel="0" collapsed="false">
      <c r="A15" s="13" t="s">
        <v>463</v>
      </c>
      <c r="B15" s="13" t="s">
        <v>464</v>
      </c>
      <c r="C15" s="13" t="s">
        <v>465</v>
      </c>
      <c r="D15" s="13" t="s">
        <v>466</v>
      </c>
    </row>
    <row r="16" customFormat="false" ht="23.85" hidden="false" customHeight="false" outlineLevel="0" collapsed="false">
      <c r="A16" s="15" t="s">
        <v>467</v>
      </c>
      <c r="B16" s="15" t="s">
        <v>468</v>
      </c>
      <c r="C16" s="15" t="s">
        <v>469</v>
      </c>
      <c r="D16" s="15" t="s">
        <v>470</v>
      </c>
    </row>
  </sheetData>
  <autoFilter ref="A4:D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6"/>
    <col collapsed="false" customWidth="true" hidden="false" outlineLevel="0" max="4" min="4" style="0" width="66"/>
  </cols>
  <sheetData>
    <row r="1" customFormat="false" ht="19.7" hidden="false" customHeight="false" outlineLevel="0" collapsed="false">
      <c r="A1" s="1" t="s">
        <v>471</v>
      </c>
    </row>
    <row r="2" customFormat="false" ht="15" hidden="false" customHeight="false" outlineLevel="0" collapsed="false">
      <c r="A2" s="2" t="s">
        <v>472</v>
      </c>
    </row>
    <row r="4" customFormat="false" ht="27.75" hidden="false" customHeight="true" outlineLevel="0" collapsed="false">
      <c r="A4" s="12" t="s">
        <v>473</v>
      </c>
      <c r="B4" s="12" t="s">
        <v>474</v>
      </c>
      <c r="C4" s="12" t="s">
        <v>475</v>
      </c>
      <c r="D4" s="12" t="s">
        <v>436</v>
      </c>
    </row>
    <row r="5" customFormat="false" ht="15" hidden="false" customHeight="false" outlineLevel="0" collapsed="false">
      <c r="A5" s="22" t="s">
        <v>476</v>
      </c>
      <c r="B5" s="13" t="s">
        <v>477</v>
      </c>
      <c r="C5" s="13" t="s">
        <v>478</v>
      </c>
      <c r="D5" s="13" t="s">
        <v>479</v>
      </c>
    </row>
    <row r="6" customFormat="false" ht="23.85" hidden="false" customHeight="false" outlineLevel="0" collapsed="false">
      <c r="A6" s="22" t="s">
        <v>476</v>
      </c>
      <c r="B6" s="15" t="s">
        <v>480</v>
      </c>
      <c r="C6" s="15" t="s">
        <v>478</v>
      </c>
      <c r="D6" s="15" t="s">
        <v>481</v>
      </c>
    </row>
    <row r="7" customFormat="false" ht="23.85" hidden="false" customHeight="false" outlineLevel="0" collapsed="false">
      <c r="A7" s="22" t="s">
        <v>476</v>
      </c>
      <c r="B7" s="13" t="s">
        <v>482</v>
      </c>
      <c r="C7" s="13" t="s">
        <v>483</v>
      </c>
      <c r="D7" s="13" t="s">
        <v>484</v>
      </c>
    </row>
    <row r="8" customFormat="false" ht="23.85" hidden="false" customHeight="false" outlineLevel="0" collapsed="false">
      <c r="A8" s="23" t="s">
        <v>485</v>
      </c>
      <c r="B8" s="15" t="s">
        <v>486</v>
      </c>
      <c r="C8" s="15" t="s">
        <v>487</v>
      </c>
      <c r="D8" s="15" t="s">
        <v>488</v>
      </c>
    </row>
    <row r="9" customFormat="false" ht="15" hidden="false" customHeight="false" outlineLevel="0" collapsed="false">
      <c r="A9" s="24" t="s">
        <v>489</v>
      </c>
      <c r="B9" s="13" t="s">
        <v>367</v>
      </c>
      <c r="C9" s="13" t="s">
        <v>478</v>
      </c>
      <c r="D9" s="13" t="s">
        <v>490</v>
      </c>
    </row>
    <row r="10" customFormat="false" ht="15" hidden="false" customHeight="false" outlineLevel="0" collapsed="false">
      <c r="A10" s="24" t="s">
        <v>489</v>
      </c>
      <c r="B10" s="15" t="s">
        <v>375</v>
      </c>
      <c r="C10" s="15" t="s">
        <v>478</v>
      </c>
      <c r="D10" s="15" t="s">
        <v>491</v>
      </c>
    </row>
    <row r="11" customFormat="false" ht="15" hidden="false" customHeight="false" outlineLevel="0" collapsed="false">
      <c r="A11" s="24" t="s">
        <v>489</v>
      </c>
      <c r="B11" s="13" t="s">
        <v>371</v>
      </c>
      <c r="C11" s="13" t="s">
        <v>478</v>
      </c>
      <c r="D11" s="13" t="s">
        <v>492</v>
      </c>
    </row>
    <row r="12" customFormat="false" ht="15" hidden="false" customHeight="false" outlineLevel="0" collapsed="false">
      <c r="A12" s="24" t="s">
        <v>489</v>
      </c>
      <c r="B12" s="15" t="s">
        <v>383</v>
      </c>
      <c r="C12" s="15" t="s">
        <v>478</v>
      </c>
      <c r="D12" s="15" t="s">
        <v>493</v>
      </c>
    </row>
    <row r="13" customFormat="false" ht="23.85" hidden="false" customHeight="false" outlineLevel="0" collapsed="false">
      <c r="A13" s="25" t="s">
        <v>494</v>
      </c>
      <c r="B13" s="13" t="s">
        <v>495</v>
      </c>
      <c r="C13" s="13" t="s">
        <v>496</v>
      </c>
      <c r="D13" s="13" t="s">
        <v>497</v>
      </c>
    </row>
    <row r="14" customFormat="false" ht="23.85" hidden="false" customHeight="false" outlineLevel="0" collapsed="false">
      <c r="A14" s="25" t="s">
        <v>494</v>
      </c>
      <c r="B14" s="15" t="s">
        <v>42</v>
      </c>
      <c r="C14" s="15" t="s">
        <v>347</v>
      </c>
      <c r="D14" s="15" t="s">
        <v>498</v>
      </c>
    </row>
    <row r="15" customFormat="false" ht="23.85" hidden="false" customHeight="false" outlineLevel="0" collapsed="false">
      <c r="A15" s="26" t="s">
        <v>499</v>
      </c>
      <c r="B15" s="13" t="s">
        <v>500</v>
      </c>
      <c r="C15" s="13" t="s">
        <v>501</v>
      </c>
      <c r="D15" s="13" t="s">
        <v>502</v>
      </c>
    </row>
  </sheetData>
  <autoFilter ref="A4:D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52"/>
    <col collapsed="false" customWidth="true" hidden="false" outlineLevel="0" max="4" min="4" style="0" width="32"/>
  </cols>
  <sheetData>
    <row r="1" customFormat="false" ht="19.7" hidden="false" customHeight="false" outlineLevel="0" collapsed="false">
      <c r="A1" s="1" t="s">
        <v>503</v>
      </c>
    </row>
    <row r="2" customFormat="false" ht="15" hidden="false" customHeight="false" outlineLevel="0" collapsed="false">
      <c r="A2" s="2" t="s">
        <v>504</v>
      </c>
    </row>
    <row r="4" customFormat="false" ht="27.75" hidden="false" customHeight="true" outlineLevel="0" collapsed="false">
      <c r="A4" s="12" t="s">
        <v>505</v>
      </c>
      <c r="B4" s="12" t="s">
        <v>506</v>
      </c>
      <c r="C4" s="12" t="s">
        <v>507</v>
      </c>
      <c r="D4" s="12" t="s">
        <v>39</v>
      </c>
    </row>
    <row r="5" customFormat="false" ht="15" hidden="false" customHeight="false" outlineLevel="0" collapsed="false">
      <c r="A5" s="13" t="s">
        <v>508</v>
      </c>
      <c r="B5" s="13" t="s">
        <v>509</v>
      </c>
      <c r="C5" s="13" t="s">
        <v>510</v>
      </c>
      <c r="D5" s="13" t="s">
        <v>511</v>
      </c>
    </row>
    <row r="6" customFormat="false" ht="15" hidden="false" customHeight="false" outlineLevel="0" collapsed="false">
      <c r="A6" s="15" t="s">
        <v>508</v>
      </c>
      <c r="B6" s="15" t="s">
        <v>512</v>
      </c>
      <c r="C6" s="15" t="s">
        <v>513</v>
      </c>
      <c r="D6" s="15" t="s">
        <v>514</v>
      </c>
    </row>
    <row r="7" customFormat="false" ht="15" hidden="false" customHeight="false" outlineLevel="0" collapsed="false">
      <c r="A7" s="13" t="s">
        <v>508</v>
      </c>
      <c r="B7" s="13" t="s">
        <v>515</v>
      </c>
      <c r="C7" s="13" t="s">
        <v>516</v>
      </c>
      <c r="D7" s="13" t="s">
        <v>517</v>
      </c>
    </row>
    <row r="8" customFormat="false" ht="15" hidden="false" customHeight="false" outlineLevel="0" collapsed="false">
      <c r="A8" s="15" t="s">
        <v>508</v>
      </c>
      <c r="B8" s="15" t="s">
        <v>518</v>
      </c>
      <c r="C8" s="15" t="s">
        <v>519</v>
      </c>
      <c r="D8" s="15" t="s">
        <v>520</v>
      </c>
    </row>
    <row r="9" customFormat="false" ht="15" hidden="false" customHeight="false" outlineLevel="0" collapsed="false">
      <c r="A9" s="13" t="s">
        <v>508</v>
      </c>
      <c r="B9" s="13" t="s">
        <v>521</v>
      </c>
      <c r="C9" s="13" t="s">
        <v>522</v>
      </c>
      <c r="D9" s="13" t="s">
        <v>523</v>
      </c>
    </row>
    <row r="10" customFormat="false" ht="15" hidden="false" customHeight="false" outlineLevel="0" collapsed="false">
      <c r="A10" s="15" t="s">
        <v>508</v>
      </c>
      <c r="B10" s="15" t="s">
        <v>524</v>
      </c>
      <c r="C10" s="15" t="s">
        <v>525</v>
      </c>
      <c r="D10" s="15" t="s">
        <v>526</v>
      </c>
    </row>
    <row r="11" customFormat="false" ht="15" hidden="false" customHeight="false" outlineLevel="0" collapsed="false">
      <c r="A11" s="13" t="s">
        <v>527</v>
      </c>
      <c r="B11" s="13" t="s">
        <v>528</v>
      </c>
      <c r="C11" s="13" t="s">
        <v>529</v>
      </c>
      <c r="D11" s="13" t="s">
        <v>530</v>
      </c>
    </row>
    <row r="12" customFormat="false" ht="15" hidden="false" customHeight="false" outlineLevel="0" collapsed="false">
      <c r="A12" s="15" t="s">
        <v>527</v>
      </c>
      <c r="B12" s="15" t="s">
        <v>531</v>
      </c>
      <c r="C12" s="15" t="s">
        <v>532</v>
      </c>
      <c r="D12" s="15" t="s">
        <v>533</v>
      </c>
    </row>
    <row r="13" customFormat="false" ht="15" hidden="false" customHeight="false" outlineLevel="0" collapsed="false">
      <c r="A13" s="13" t="s">
        <v>527</v>
      </c>
      <c r="B13" s="13" t="s">
        <v>534</v>
      </c>
      <c r="C13" s="13" t="s">
        <v>535</v>
      </c>
      <c r="D13" s="13" t="s">
        <v>536</v>
      </c>
    </row>
    <row r="14" customFormat="false" ht="15" hidden="false" customHeight="false" outlineLevel="0" collapsed="false">
      <c r="A14" s="15" t="s">
        <v>527</v>
      </c>
      <c r="B14" s="15" t="s">
        <v>537</v>
      </c>
      <c r="C14" s="15" t="s">
        <v>538</v>
      </c>
      <c r="D14" s="15" t="s">
        <v>539</v>
      </c>
    </row>
    <row r="15" customFormat="false" ht="15" hidden="false" customHeight="false" outlineLevel="0" collapsed="false">
      <c r="A15" s="13" t="s">
        <v>540</v>
      </c>
      <c r="B15" s="13" t="s">
        <v>541</v>
      </c>
      <c r="C15" s="13" t="s">
        <v>542</v>
      </c>
      <c r="D15" s="13" t="s">
        <v>543</v>
      </c>
    </row>
    <row r="16" customFormat="false" ht="15" hidden="false" customHeight="false" outlineLevel="0" collapsed="false">
      <c r="A16" s="15" t="s">
        <v>540</v>
      </c>
      <c r="B16" s="15" t="s">
        <v>544</v>
      </c>
      <c r="C16" s="15" t="s">
        <v>545</v>
      </c>
      <c r="D16" s="15" t="s">
        <v>546</v>
      </c>
    </row>
    <row r="17" customFormat="false" ht="15" hidden="false" customHeight="false" outlineLevel="0" collapsed="false">
      <c r="A17" s="13" t="s">
        <v>540</v>
      </c>
      <c r="B17" s="13" t="s">
        <v>547</v>
      </c>
      <c r="C17" s="13" t="s">
        <v>548</v>
      </c>
      <c r="D17" s="13" t="s">
        <v>549</v>
      </c>
    </row>
  </sheetData>
  <autoFilter ref="A4:D1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4"/>
    <col collapsed="false" customWidth="true" hidden="false" outlineLevel="0" max="3" min="3" style="0" width="13"/>
    <col collapsed="false" customWidth="true" hidden="false" outlineLevel="0" max="5" min="4" style="0" width="16"/>
    <col collapsed="false" customWidth="true" hidden="false" outlineLevel="0" max="6" min="6" style="0" width="20"/>
    <col collapsed="false" customWidth="true" hidden="false" outlineLevel="0" max="7" min="7" style="0" width="16"/>
    <col collapsed="false" customWidth="true" hidden="false" outlineLevel="0" max="8" min="8" style="0" width="30"/>
    <col collapsed="false" customWidth="true" hidden="false" outlineLevel="0" max="9" min="9" style="0" width="14"/>
  </cols>
  <sheetData>
    <row r="1" customFormat="false" ht="19.7" hidden="false" customHeight="false" outlineLevel="0" collapsed="false">
      <c r="A1" s="1" t="s">
        <v>550</v>
      </c>
    </row>
    <row r="2" customFormat="false" ht="15" hidden="false" customHeight="false" outlineLevel="0" collapsed="false">
      <c r="A2" s="2" t="s">
        <v>551</v>
      </c>
    </row>
    <row r="4" customFormat="false" ht="27.75" hidden="false" customHeight="true" outlineLevel="0" collapsed="false">
      <c r="A4" s="12" t="s">
        <v>39</v>
      </c>
      <c r="B4" s="12" t="s">
        <v>36</v>
      </c>
      <c r="C4" s="12" t="s">
        <v>40</v>
      </c>
      <c r="D4" s="12" t="s">
        <v>552</v>
      </c>
      <c r="E4" s="12" t="s">
        <v>553</v>
      </c>
      <c r="F4" s="12" t="s">
        <v>554</v>
      </c>
      <c r="G4" s="12" t="s">
        <v>555</v>
      </c>
      <c r="H4" s="12" t="s">
        <v>556</v>
      </c>
      <c r="I4" s="12" t="s">
        <v>557</v>
      </c>
    </row>
    <row r="5" customFormat="false" ht="15" hidden="false" customHeight="false" outlineLevel="0" collapsed="false">
      <c r="A5" s="13" t="s">
        <v>558</v>
      </c>
      <c r="B5" s="13" t="s">
        <v>118</v>
      </c>
      <c r="C5" s="17" t="s">
        <v>31</v>
      </c>
      <c r="D5" s="13" t="s">
        <v>559</v>
      </c>
      <c r="E5" s="27"/>
      <c r="F5" s="27"/>
      <c r="G5" s="27"/>
      <c r="H5" s="27"/>
      <c r="I5" s="27"/>
    </row>
    <row r="6" customFormat="false" ht="15" hidden="false" customHeight="false" outlineLevel="0" collapsed="false">
      <c r="A6" s="15" t="s">
        <v>558</v>
      </c>
      <c r="B6" s="15" t="s">
        <v>130</v>
      </c>
      <c r="C6" s="17" t="s">
        <v>31</v>
      </c>
      <c r="D6" s="15" t="s">
        <v>559</v>
      </c>
      <c r="E6" s="27"/>
      <c r="F6" s="27"/>
      <c r="G6" s="27"/>
      <c r="H6" s="27"/>
      <c r="I6" s="27"/>
    </row>
    <row r="7" customFormat="false" ht="15" hidden="false" customHeight="false" outlineLevel="0" collapsed="false">
      <c r="A7" s="13" t="s">
        <v>558</v>
      </c>
      <c r="B7" s="13" t="s">
        <v>134</v>
      </c>
      <c r="C7" s="17" t="s">
        <v>31</v>
      </c>
      <c r="D7" s="13" t="s">
        <v>559</v>
      </c>
      <c r="E7" s="27"/>
      <c r="F7" s="27"/>
      <c r="G7" s="27"/>
      <c r="H7" s="27"/>
      <c r="I7" s="27"/>
    </row>
    <row r="8" customFormat="false" ht="15" hidden="false" customHeight="false" outlineLevel="0" collapsed="false">
      <c r="A8" s="15" t="s">
        <v>558</v>
      </c>
      <c r="B8" s="15" t="s">
        <v>151</v>
      </c>
      <c r="C8" s="17" t="s">
        <v>31</v>
      </c>
      <c r="D8" s="15" t="s">
        <v>559</v>
      </c>
      <c r="E8" s="27"/>
      <c r="F8" s="27"/>
      <c r="G8" s="27"/>
      <c r="H8" s="27"/>
      <c r="I8" s="27"/>
    </row>
    <row r="9" customFormat="false" ht="15" hidden="false" customHeight="false" outlineLevel="0" collapsed="false">
      <c r="A9" s="13" t="s">
        <v>560</v>
      </c>
      <c r="B9" s="13" t="s">
        <v>165</v>
      </c>
      <c r="C9" s="17" t="s">
        <v>31</v>
      </c>
      <c r="D9" s="13" t="s">
        <v>559</v>
      </c>
      <c r="E9" s="27"/>
      <c r="F9" s="27"/>
      <c r="G9" s="27"/>
      <c r="H9" s="27"/>
      <c r="I9" s="27"/>
    </row>
    <row r="10" customFormat="false" ht="15" hidden="false" customHeight="false" outlineLevel="0" collapsed="false">
      <c r="A10" s="15" t="s">
        <v>560</v>
      </c>
      <c r="B10" s="15" t="s">
        <v>194</v>
      </c>
      <c r="C10" s="17" t="s">
        <v>31</v>
      </c>
      <c r="D10" s="15" t="s">
        <v>559</v>
      </c>
      <c r="E10" s="27"/>
      <c r="F10" s="27"/>
      <c r="G10" s="27"/>
      <c r="H10" s="27"/>
      <c r="I10" s="27"/>
    </row>
    <row r="11" customFormat="false" ht="15" hidden="false" customHeight="false" outlineLevel="0" collapsed="false">
      <c r="A11" s="13" t="s">
        <v>560</v>
      </c>
      <c r="B11" s="13" t="s">
        <v>251</v>
      </c>
      <c r="C11" s="17" t="s">
        <v>31</v>
      </c>
      <c r="D11" s="13" t="s">
        <v>559</v>
      </c>
      <c r="E11" s="27"/>
      <c r="F11" s="27"/>
      <c r="G11" s="27"/>
      <c r="H11" s="27"/>
      <c r="I11" s="27"/>
    </row>
    <row r="12" customFormat="false" ht="15" hidden="false" customHeight="false" outlineLevel="0" collapsed="false">
      <c r="A12" s="15" t="s">
        <v>560</v>
      </c>
      <c r="B12" s="15" t="s">
        <v>300</v>
      </c>
      <c r="C12" s="17" t="s">
        <v>31</v>
      </c>
      <c r="D12" s="15" t="s">
        <v>559</v>
      </c>
      <c r="E12" s="27"/>
      <c r="F12" s="27"/>
      <c r="G12" s="27"/>
      <c r="H12" s="27"/>
      <c r="I12" s="27"/>
    </row>
    <row r="13" customFormat="false" ht="15" hidden="false" customHeight="false" outlineLevel="0" collapsed="false">
      <c r="A13" s="13" t="s">
        <v>560</v>
      </c>
      <c r="B13" s="13" t="s">
        <v>357</v>
      </c>
      <c r="C13" s="17" t="s">
        <v>31</v>
      </c>
      <c r="D13" s="13" t="s">
        <v>559</v>
      </c>
      <c r="E13" s="27"/>
      <c r="F13" s="27"/>
      <c r="G13" s="27"/>
      <c r="H13" s="27"/>
      <c r="I13" s="27"/>
    </row>
    <row r="14" customFormat="false" ht="15" hidden="false" customHeight="false" outlineLevel="0" collapsed="false">
      <c r="A14" s="15" t="s">
        <v>560</v>
      </c>
      <c r="B14" s="15" t="s">
        <v>362</v>
      </c>
      <c r="C14" s="17" t="s">
        <v>31</v>
      </c>
      <c r="D14" s="15" t="s">
        <v>559</v>
      </c>
      <c r="E14" s="27"/>
      <c r="F14" s="27"/>
      <c r="G14" s="27"/>
      <c r="H14" s="27"/>
      <c r="I14" s="27"/>
    </row>
    <row r="15" customFormat="false" ht="15" hidden="false" customHeight="false" outlineLevel="0" collapsed="false">
      <c r="A15" s="13" t="s">
        <v>558</v>
      </c>
      <c r="B15" s="13" t="s">
        <v>45</v>
      </c>
      <c r="C15" s="14" t="s">
        <v>29</v>
      </c>
      <c r="D15" s="13" t="s">
        <v>561</v>
      </c>
      <c r="E15" s="27"/>
      <c r="F15" s="27"/>
      <c r="G15" s="27"/>
      <c r="H15" s="27"/>
      <c r="I15" s="27"/>
    </row>
    <row r="16" customFormat="false" ht="15" hidden="false" customHeight="false" outlineLevel="0" collapsed="false">
      <c r="A16" s="15" t="s">
        <v>558</v>
      </c>
      <c r="B16" s="15" t="s">
        <v>59</v>
      </c>
      <c r="C16" s="14" t="s">
        <v>29</v>
      </c>
      <c r="D16" s="15" t="s">
        <v>561</v>
      </c>
      <c r="E16" s="27"/>
      <c r="F16" s="27"/>
      <c r="G16" s="27"/>
      <c r="H16" s="27"/>
      <c r="I16" s="27"/>
    </row>
    <row r="17" customFormat="false" ht="15" hidden="false" customHeight="false" outlineLevel="0" collapsed="false">
      <c r="A17" s="13" t="s">
        <v>558</v>
      </c>
      <c r="B17" s="13" t="s">
        <v>64</v>
      </c>
      <c r="C17" s="14" t="s">
        <v>29</v>
      </c>
      <c r="D17" s="13" t="s">
        <v>561</v>
      </c>
      <c r="E17" s="27"/>
      <c r="F17" s="27"/>
      <c r="G17" s="27"/>
      <c r="H17" s="27"/>
      <c r="I17" s="27"/>
    </row>
    <row r="18" customFormat="false" ht="15" hidden="false" customHeight="false" outlineLevel="0" collapsed="false">
      <c r="A18" s="15" t="s">
        <v>558</v>
      </c>
      <c r="B18" s="15" t="s">
        <v>68</v>
      </c>
      <c r="C18" s="14" t="s">
        <v>29</v>
      </c>
      <c r="D18" s="15" t="s">
        <v>561</v>
      </c>
      <c r="E18" s="27"/>
      <c r="F18" s="27"/>
      <c r="G18" s="27"/>
      <c r="H18" s="27"/>
      <c r="I18" s="27"/>
    </row>
    <row r="19" customFormat="false" ht="15" hidden="false" customHeight="false" outlineLevel="0" collapsed="false">
      <c r="A19" s="13" t="s">
        <v>558</v>
      </c>
      <c r="B19" s="13" t="s">
        <v>73</v>
      </c>
      <c r="C19" s="14" t="s">
        <v>29</v>
      </c>
      <c r="D19" s="13" t="s">
        <v>561</v>
      </c>
      <c r="E19" s="27"/>
      <c r="F19" s="27"/>
      <c r="G19" s="27"/>
      <c r="H19" s="27"/>
      <c r="I19" s="27"/>
    </row>
    <row r="20" customFormat="false" ht="15" hidden="false" customHeight="false" outlineLevel="0" collapsed="false">
      <c r="A20" s="15" t="s">
        <v>558</v>
      </c>
      <c r="B20" s="15" t="s">
        <v>78</v>
      </c>
      <c r="C20" s="14" t="s">
        <v>29</v>
      </c>
      <c r="D20" s="15" t="s">
        <v>561</v>
      </c>
      <c r="E20" s="27"/>
      <c r="F20" s="27"/>
      <c r="G20" s="27"/>
      <c r="H20" s="27"/>
      <c r="I20" s="27"/>
    </row>
    <row r="21" customFormat="false" ht="15" hidden="false" customHeight="false" outlineLevel="0" collapsed="false">
      <c r="A21" s="13" t="s">
        <v>558</v>
      </c>
      <c r="B21" s="13" t="s">
        <v>89</v>
      </c>
      <c r="C21" s="14" t="s">
        <v>29</v>
      </c>
      <c r="D21" s="13" t="s">
        <v>561</v>
      </c>
      <c r="E21" s="27"/>
      <c r="F21" s="27"/>
      <c r="G21" s="27"/>
      <c r="H21" s="27"/>
      <c r="I21" s="27"/>
    </row>
    <row r="22" customFormat="false" ht="15" hidden="false" customHeight="false" outlineLevel="0" collapsed="false">
      <c r="A22" s="15" t="s">
        <v>558</v>
      </c>
      <c r="B22" s="15" t="s">
        <v>93</v>
      </c>
      <c r="C22" s="14" t="s">
        <v>29</v>
      </c>
      <c r="D22" s="15" t="s">
        <v>561</v>
      </c>
      <c r="E22" s="27"/>
      <c r="F22" s="27"/>
      <c r="G22" s="27"/>
      <c r="H22" s="27"/>
      <c r="I22" s="27"/>
    </row>
    <row r="23" customFormat="false" ht="15" hidden="false" customHeight="false" outlineLevel="0" collapsed="false">
      <c r="A23" s="13" t="s">
        <v>558</v>
      </c>
      <c r="B23" s="13" t="s">
        <v>97</v>
      </c>
      <c r="C23" s="14" t="s">
        <v>29</v>
      </c>
      <c r="D23" s="13" t="s">
        <v>561</v>
      </c>
      <c r="E23" s="27"/>
      <c r="F23" s="27"/>
      <c r="G23" s="27"/>
      <c r="H23" s="27"/>
      <c r="I23" s="27"/>
    </row>
    <row r="24" customFormat="false" ht="15" hidden="false" customHeight="false" outlineLevel="0" collapsed="false">
      <c r="A24" s="15" t="s">
        <v>558</v>
      </c>
      <c r="B24" s="15" t="s">
        <v>105</v>
      </c>
      <c r="C24" s="14" t="s">
        <v>29</v>
      </c>
      <c r="D24" s="15" t="s">
        <v>561</v>
      </c>
      <c r="E24" s="27"/>
      <c r="F24" s="27"/>
      <c r="G24" s="27"/>
      <c r="H24" s="27"/>
      <c r="I24" s="27"/>
    </row>
    <row r="25" customFormat="false" ht="15" hidden="false" customHeight="false" outlineLevel="0" collapsed="false">
      <c r="A25" s="13" t="s">
        <v>558</v>
      </c>
      <c r="B25" s="13" t="s">
        <v>109</v>
      </c>
      <c r="C25" s="14" t="s">
        <v>29</v>
      </c>
      <c r="D25" s="13" t="s">
        <v>561</v>
      </c>
      <c r="E25" s="27"/>
      <c r="F25" s="27"/>
      <c r="G25" s="27"/>
      <c r="H25" s="27"/>
      <c r="I25" s="27"/>
    </row>
    <row r="26" customFormat="false" ht="15" hidden="false" customHeight="false" outlineLevel="0" collapsed="false">
      <c r="A26" s="15" t="s">
        <v>558</v>
      </c>
      <c r="B26" s="15" t="s">
        <v>122</v>
      </c>
      <c r="C26" s="14" t="s">
        <v>29</v>
      </c>
      <c r="D26" s="15" t="s">
        <v>561</v>
      </c>
      <c r="E26" s="27"/>
      <c r="F26" s="27"/>
      <c r="G26" s="27"/>
      <c r="H26" s="27"/>
      <c r="I26" s="27"/>
    </row>
    <row r="27" customFormat="false" ht="15" hidden="false" customHeight="false" outlineLevel="0" collapsed="false">
      <c r="A27" s="13" t="s">
        <v>558</v>
      </c>
      <c r="B27" s="13" t="s">
        <v>126</v>
      </c>
      <c r="C27" s="14" t="s">
        <v>29</v>
      </c>
      <c r="D27" s="13" t="s">
        <v>561</v>
      </c>
      <c r="E27" s="27"/>
      <c r="F27" s="27"/>
      <c r="G27" s="27"/>
      <c r="H27" s="27"/>
      <c r="I27" s="27"/>
    </row>
    <row r="28" customFormat="false" ht="15" hidden="false" customHeight="false" outlineLevel="0" collapsed="false">
      <c r="A28" s="15" t="s">
        <v>558</v>
      </c>
      <c r="B28" s="15" t="s">
        <v>138</v>
      </c>
      <c r="C28" s="14" t="s">
        <v>29</v>
      </c>
      <c r="D28" s="15" t="s">
        <v>561</v>
      </c>
      <c r="E28" s="27"/>
      <c r="F28" s="27"/>
      <c r="G28" s="27"/>
      <c r="H28" s="27"/>
      <c r="I28" s="27"/>
    </row>
    <row r="29" customFormat="false" ht="15" hidden="false" customHeight="false" outlineLevel="0" collapsed="false">
      <c r="A29" s="13" t="s">
        <v>560</v>
      </c>
      <c r="B29" s="13" t="s">
        <v>160</v>
      </c>
      <c r="C29" s="14" t="s">
        <v>29</v>
      </c>
      <c r="D29" s="13" t="s">
        <v>561</v>
      </c>
      <c r="E29" s="27"/>
      <c r="F29" s="27"/>
      <c r="G29" s="27"/>
      <c r="H29" s="27"/>
      <c r="I29" s="27"/>
    </row>
    <row r="30" customFormat="false" ht="15" hidden="false" customHeight="false" outlineLevel="0" collapsed="false">
      <c r="A30" s="15" t="s">
        <v>560</v>
      </c>
      <c r="B30" s="15" t="s">
        <v>169</v>
      </c>
      <c r="C30" s="14" t="s">
        <v>29</v>
      </c>
      <c r="D30" s="15" t="s">
        <v>561</v>
      </c>
      <c r="E30" s="27"/>
      <c r="F30" s="27"/>
      <c r="G30" s="27"/>
      <c r="H30" s="27"/>
      <c r="I30" s="27"/>
    </row>
    <row r="31" customFormat="false" ht="15" hidden="false" customHeight="false" outlineLevel="0" collapsed="false">
      <c r="A31" s="13" t="s">
        <v>560</v>
      </c>
      <c r="B31" s="13" t="s">
        <v>138</v>
      </c>
      <c r="C31" s="14" t="s">
        <v>29</v>
      </c>
      <c r="D31" s="13" t="s">
        <v>561</v>
      </c>
      <c r="E31" s="27"/>
      <c r="F31" s="27"/>
      <c r="G31" s="27"/>
      <c r="H31" s="27"/>
      <c r="I31" s="27"/>
    </row>
    <row r="32" customFormat="false" ht="15" hidden="false" customHeight="false" outlineLevel="0" collapsed="false">
      <c r="A32" s="15" t="s">
        <v>560</v>
      </c>
      <c r="B32" s="15" t="s">
        <v>367</v>
      </c>
      <c r="C32" s="20" t="s">
        <v>32</v>
      </c>
      <c r="D32" s="15" t="s">
        <v>562</v>
      </c>
      <c r="E32" s="27"/>
      <c r="F32" s="27"/>
      <c r="G32" s="27"/>
      <c r="H32" s="27"/>
      <c r="I32" s="27"/>
    </row>
    <row r="33" customFormat="false" ht="15" hidden="false" customHeight="false" outlineLevel="0" collapsed="false">
      <c r="A33" s="13" t="s">
        <v>560</v>
      </c>
      <c r="B33" s="13" t="s">
        <v>371</v>
      </c>
      <c r="C33" s="20" t="s">
        <v>32</v>
      </c>
      <c r="D33" s="13" t="s">
        <v>562</v>
      </c>
      <c r="E33" s="27"/>
      <c r="F33" s="27"/>
      <c r="G33" s="27"/>
      <c r="H33" s="27"/>
      <c r="I33" s="27"/>
    </row>
    <row r="34" customFormat="false" ht="15" hidden="false" customHeight="false" outlineLevel="0" collapsed="false">
      <c r="A34" s="15" t="s">
        <v>560</v>
      </c>
      <c r="B34" s="15" t="s">
        <v>375</v>
      </c>
      <c r="C34" s="20" t="s">
        <v>32</v>
      </c>
      <c r="D34" s="15" t="s">
        <v>562</v>
      </c>
      <c r="E34" s="27"/>
      <c r="F34" s="27"/>
      <c r="G34" s="27"/>
      <c r="H34" s="27"/>
      <c r="I34" s="27"/>
    </row>
    <row r="35" customFormat="false" ht="15" hidden="false" customHeight="false" outlineLevel="0" collapsed="false">
      <c r="A35" s="13" t="s">
        <v>560</v>
      </c>
      <c r="B35" s="13" t="s">
        <v>383</v>
      </c>
      <c r="C35" s="20" t="s">
        <v>32</v>
      </c>
      <c r="D35" s="13" t="s">
        <v>562</v>
      </c>
      <c r="E35" s="27"/>
      <c r="F35" s="27"/>
      <c r="G35" s="27"/>
      <c r="H35" s="27"/>
      <c r="I35" s="27"/>
    </row>
    <row r="36" customFormat="false" ht="15" hidden="false" customHeight="false" outlineLevel="0" collapsed="false">
      <c r="A36" s="15" t="s">
        <v>558</v>
      </c>
      <c r="B36" s="15" t="s">
        <v>52</v>
      </c>
      <c r="C36" s="16" t="s">
        <v>30</v>
      </c>
      <c r="D36" s="15" t="s">
        <v>563</v>
      </c>
      <c r="E36" s="27"/>
      <c r="F36" s="27"/>
      <c r="G36" s="27"/>
      <c r="H36" s="27"/>
      <c r="I36" s="27"/>
    </row>
    <row r="37" customFormat="false" ht="15" hidden="false" customHeight="false" outlineLevel="0" collapsed="false">
      <c r="A37" s="13" t="s">
        <v>558</v>
      </c>
      <c r="B37" s="13" t="s">
        <v>84</v>
      </c>
      <c r="C37" s="16" t="s">
        <v>30</v>
      </c>
      <c r="D37" s="13" t="s">
        <v>563</v>
      </c>
      <c r="E37" s="27"/>
      <c r="F37" s="27"/>
      <c r="G37" s="27"/>
      <c r="H37" s="27"/>
      <c r="I37" s="27"/>
    </row>
    <row r="38" customFormat="false" ht="15" hidden="false" customHeight="false" outlineLevel="0" collapsed="false">
      <c r="A38" s="15" t="s">
        <v>558</v>
      </c>
      <c r="B38" s="15" t="s">
        <v>101</v>
      </c>
      <c r="C38" s="16" t="s">
        <v>30</v>
      </c>
      <c r="D38" s="15" t="s">
        <v>563</v>
      </c>
      <c r="E38" s="27"/>
      <c r="F38" s="27"/>
      <c r="G38" s="27"/>
      <c r="H38" s="27"/>
      <c r="I38" s="27"/>
    </row>
    <row r="39" customFormat="false" ht="15" hidden="false" customHeight="false" outlineLevel="0" collapsed="false">
      <c r="A39" s="13" t="s">
        <v>558</v>
      </c>
      <c r="B39" s="13" t="s">
        <v>113</v>
      </c>
      <c r="C39" s="16" t="s">
        <v>30</v>
      </c>
      <c r="D39" s="13" t="s">
        <v>563</v>
      </c>
      <c r="E39" s="27"/>
      <c r="F39" s="27"/>
      <c r="G39" s="27"/>
      <c r="H39" s="27"/>
      <c r="I39" s="27"/>
    </row>
    <row r="40" customFormat="false" ht="15" hidden="false" customHeight="false" outlineLevel="0" collapsed="false">
      <c r="A40" s="15" t="s">
        <v>558</v>
      </c>
      <c r="B40" s="15" t="s">
        <v>142</v>
      </c>
      <c r="C40" s="16" t="s">
        <v>30</v>
      </c>
      <c r="D40" s="15" t="s">
        <v>563</v>
      </c>
      <c r="E40" s="27"/>
      <c r="F40" s="27"/>
      <c r="G40" s="27"/>
      <c r="H40" s="27"/>
      <c r="I40" s="27"/>
    </row>
    <row r="41" customFormat="false" ht="15" hidden="false" customHeight="false" outlineLevel="0" collapsed="false">
      <c r="A41" s="13" t="s">
        <v>558</v>
      </c>
      <c r="B41" s="13" t="s">
        <v>147</v>
      </c>
      <c r="C41" s="16" t="s">
        <v>30</v>
      </c>
      <c r="D41" s="13" t="s">
        <v>563</v>
      </c>
      <c r="E41" s="27"/>
      <c r="F41" s="27"/>
      <c r="G41" s="27"/>
      <c r="H41" s="27"/>
      <c r="I41" s="27"/>
    </row>
    <row r="42" customFormat="false" ht="15" hidden="false" customHeight="false" outlineLevel="0" collapsed="false">
      <c r="A42" s="15" t="s">
        <v>560</v>
      </c>
      <c r="B42" s="15" t="s">
        <v>52</v>
      </c>
      <c r="C42" s="16" t="s">
        <v>30</v>
      </c>
      <c r="D42" s="15" t="s">
        <v>563</v>
      </c>
      <c r="E42" s="27"/>
      <c r="F42" s="27"/>
      <c r="G42" s="27"/>
      <c r="H42" s="27"/>
      <c r="I42" s="27"/>
    </row>
    <row r="43" customFormat="false" ht="15" hidden="false" customHeight="false" outlineLevel="0" collapsed="false">
      <c r="A43" s="13" t="s">
        <v>560</v>
      </c>
      <c r="B43" s="13" t="s">
        <v>174</v>
      </c>
      <c r="C43" s="16" t="s">
        <v>30</v>
      </c>
      <c r="D43" s="13" t="s">
        <v>563</v>
      </c>
      <c r="E43" s="27"/>
      <c r="F43" s="27"/>
      <c r="G43" s="27"/>
      <c r="H43" s="27"/>
      <c r="I43" s="27"/>
    </row>
    <row r="44" customFormat="false" ht="15" hidden="false" customHeight="false" outlineLevel="0" collapsed="false">
      <c r="A44" s="15" t="s">
        <v>560</v>
      </c>
      <c r="B44" s="15" t="s">
        <v>177</v>
      </c>
      <c r="C44" s="16" t="s">
        <v>30</v>
      </c>
      <c r="D44" s="15" t="s">
        <v>563</v>
      </c>
      <c r="E44" s="27"/>
      <c r="F44" s="27"/>
      <c r="G44" s="27"/>
      <c r="H44" s="27"/>
      <c r="I44" s="27"/>
    </row>
    <row r="45" customFormat="false" ht="15" hidden="false" customHeight="false" outlineLevel="0" collapsed="false">
      <c r="A45" s="13" t="s">
        <v>560</v>
      </c>
      <c r="B45" s="13" t="s">
        <v>181</v>
      </c>
      <c r="C45" s="16" t="s">
        <v>30</v>
      </c>
      <c r="D45" s="13" t="s">
        <v>563</v>
      </c>
      <c r="E45" s="27"/>
      <c r="F45" s="27"/>
      <c r="G45" s="27"/>
      <c r="H45" s="27"/>
      <c r="I45" s="27"/>
    </row>
    <row r="46" customFormat="false" ht="15" hidden="false" customHeight="false" outlineLevel="0" collapsed="false">
      <c r="A46" s="15" t="s">
        <v>560</v>
      </c>
      <c r="B46" s="15" t="s">
        <v>186</v>
      </c>
      <c r="C46" s="16" t="s">
        <v>30</v>
      </c>
      <c r="D46" s="15" t="s">
        <v>563</v>
      </c>
      <c r="E46" s="27"/>
      <c r="F46" s="27"/>
      <c r="G46" s="27"/>
      <c r="H46" s="27"/>
      <c r="I46" s="27"/>
    </row>
    <row r="47" customFormat="false" ht="15" hidden="false" customHeight="false" outlineLevel="0" collapsed="false">
      <c r="A47" s="13" t="s">
        <v>560</v>
      </c>
      <c r="B47" s="13" t="s">
        <v>190</v>
      </c>
      <c r="C47" s="16" t="s">
        <v>30</v>
      </c>
      <c r="D47" s="13" t="s">
        <v>563</v>
      </c>
      <c r="E47" s="27"/>
      <c r="F47" s="27"/>
      <c r="G47" s="27"/>
      <c r="H47" s="27"/>
      <c r="I47" s="27"/>
    </row>
    <row r="48" customFormat="false" ht="15" hidden="false" customHeight="false" outlineLevel="0" collapsed="false">
      <c r="A48" s="15" t="s">
        <v>560</v>
      </c>
      <c r="B48" s="15" t="s">
        <v>198</v>
      </c>
      <c r="C48" s="16" t="s">
        <v>30</v>
      </c>
      <c r="D48" s="15" t="s">
        <v>563</v>
      </c>
      <c r="E48" s="27"/>
      <c r="F48" s="27"/>
      <c r="G48" s="27"/>
      <c r="H48" s="27"/>
      <c r="I48" s="27"/>
    </row>
    <row r="49" customFormat="false" ht="15" hidden="false" customHeight="false" outlineLevel="0" collapsed="false">
      <c r="A49" s="13" t="s">
        <v>560</v>
      </c>
      <c r="B49" s="13" t="s">
        <v>202</v>
      </c>
      <c r="C49" s="16" t="s">
        <v>30</v>
      </c>
      <c r="D49" s="13" t="s">
        <v>563</v>
      </c>
      <c r="E49" s="27"/>
      <c r="F49" s="27"/>
      <c r="G49" s="27"/>
      <c r="H49" s="27"/>
      <c r="I49" s="27"/>
    </row>
    <row r="50" customFormat="false" ht="15" hidden="false" customHeight="false" outlineLevel="0" collapsed="false">
      <c r="A50" s="15" t="s">
        <v>560</v>
      </c>
      <c r="B50" s="15" t="s">
        <v>206</v>
      </c>
      <c r="C50" s="16" t="s">
        <v>30</v>
      </c>
      <c r="D50" s="15" t="s">
        <v>563</v>
      </c>
      <c r="E50" s="27"/>
      <c r="F50" s="27"/>
      <c r="G50" s="27"/>
      <c r="H50" s="27"/>
      <c r="I50" s="27"/>
    </row>
    <row r="51" customFormat="false" ht="15" hidden="false" customHeight="false" outlineLevel="0" collapsed="false">
      <c r="A51" s="13" t="s">
        <v>560</v>
      </c>
      <c r="B51" s="13" t="s">
        <v>209</v>
      </c>
      <c r="C51" s="16" t="s">
        <v>30</v>
      </c>
      <c r="D51" s="13" t="s">
        <v>563</v>
      </c>
      <c r="E51" s="27"/>
      <c r="F51" s="27"/>
      <c r="G51" s="27"/>
      <c r="H51" s="27"/>
      <c r="I51" s="27"/>
    </row>
    <row r="52" customFormat="false" ht="15" hidden="false" customHeight="false" outlineLevel="0" collapsed="false">
      <c r="A52" s="15" t="s">
        <v>560</v>
      </c>
      <c r="B52" s="15" t="s">
        <v>212</v>
      </c>
      <c r="C52" s="16" t="s">
        <v>30</v>
      </c>
      <c r="D52" s="15" t="s">
        <v>563</v>
      </c>
      <c r="E52" s="27"/>
      <c r="F52" s="27"/>
      <c r="G52" s="27"/>
      <c r="H52" s="27"/>
      <c r="I52" s="27"/>
    </row>
    <row r="53" customFormat="false" ht="15" hidden="false" customHeight="false" outlineLevel="0" collapsed="false">
      <c r="A53" s="13" t="s">
        <v>560</v>
      </c>
      <c r="B53" s="13" t="s">
        <v>217</v>
      </c>
      <c r="C53" s="16" t="s">
        <v>30</v>
      </c>
      <c r="D53" s="13" t="s">
        <v>563</v>
      </c>
      <c r="E53" s="27"/>
      <c r="F53" s="27"/>
      <c r="G53" s="27"/>
      <c r="H53" s="27"/>
      <c r="I53" s="27"/>
    </row>
    <row r="54" customFormat="false" ht="15" hidden="false" customHeight="false" outlineLevel="0" collapsed="false">
      <c r="A54" s="15" t="s">
        <v>560</v>
      </c>
      <c r="B54" s="15" t="s">
        <v>221</v>
      </c>
      <c r="C54" s="16" t="s">
        <v>30</v>
      </c>
      <c r="D54" s="15" t="s">
        <v>563</v>
      </c>
      <c r="E54" s="27"/>
      <c r="F54" s="27"/>
      <c r="G54" s="27"/>
      <c r="H54" s="27"/>
      <c r="I54" s="27"/>
    </row>
    <row r="55" customFormat="false" ht="15" hidden="false" customHeight="false" outlineLevel="0" collapsed="false">
      <c r="A55" s="13" t="s">
        <v>560</v>
      </c>
      <c r="B55" s="13" t="s">
        <v>225</v>
      </c>
      <c r="C55" s="16" t="s">
        <v>30</v>
      </c>
      <c r="D55" s="13" t="s">
        <v>563</v>
      </c>
      <c r="E55" s="27"/>
      <c r="F55" s="27"/>
      <c r="G55" s="27"/>
      <c r="H55" s="27"/>
      <c r="I55" s="27"/>
    </row>
    <row r="56" customFormat="false" ht="15" hidden="false" customHeight="false" outlineLevel="0" collapsed="false">
      <c r="A56" s="15" t="s">
        <v>560</v>
      </c>
      <c r="B56" s="15" t="s">
        <v>229</v>
      </c>
      <c r="C56" s="16" t="s">
        <v>30</v>
      </c>
      <c r="D56" s="15" t="s">
        <v>563</v>
      </c>
      <c r="E56" s="27"/>
      <c r="F56" s="27"/>
      <c r="G56" s="27"/>
      <c r="H56" s="27"/>
      <c r="I56" s="27"/>
    </row>
    <row r="57" customFormat="false" ht="15" hidden="false" customHeight="false" outlineLevel="0" collapsed="false">
      <c r="A57" s="13" t="s">
        <v>560</v>
      </c>
      <c r="B57" s="13" t="s">
        <v>233</v>
      </c>
      <c r="C57" s="16" t="s">
        <v>30</v>
      </c>
      <c r="D57" s="13" t="s">
        <v>563</v>
      </c>
      <c r="E57" s="27"/>
      <c r="F57" s="27"/>
      <c r="G57" s="27"/>
      <c r="H57" s="27"/>
      <c r="I57" s="27"/>
    </row>
    <row r="58" customFormat="false" ht="15" hidden="false" customHeight="false" outlineLevel="0" collapsed="false">
      <c r="A58" s="15" t="s">
        <v>560</v>
      </c>
      <c r="B58" s="15" t="s">
        <v>237</v>
      </c>
      <c r="C58" s="16" t="s">
        <v>30</v>
      </c>
      <c r="D58" s="15" t="s">
        <v>563</v>
      </c>
      <c r="E58" s="27"/>
      <c r="F58" s="27"/>
      <c r="G58" s="27"/>
      <c r="H58" s="27"/>
      <c r="I58" s="27"/>
    </row>
    <row r="59" customFormat="false" ht="15" hidden="false" customHeight="false" outlineLevel="0" collapsed="false">
      <c r="A59" s="13" t="s">
        <v>560</v>
      </c>
      <c r="B59" s="13" t="s">
        <v>241</v>
      </c>
      <c r="C59" s="16" t="s">
        <v>30</v>
      </c>
      <c r="D59" s="13" t="s">
        <v>563</v>
      </c>
      <c r="E59" s="27"/>
      <c r="F59" s="27"/>
      <c r="G59" s="27"/>
      <c r="H59" s="27"/>
      <c r="I59" s="27"/>
    </row>
    <row r="60" customFormat="false" ht="15" hidden="false" customHeight="false" outlineLevel="0" collapsed="false">
      <c r="A60" s="15" t="s">
        <v>560</v>
      </c>
      <c r="B60" s="15" t="s">
        <v>245</v>
      </c>
      <c r="C60" s="16" t="s">
        <v>30</v>
      </c>
      <c r="D60" s="15" t="s">
        <v>563</v>
      </c>
      <c r="E60" s="27"/>
      <c r="F60" s="27"/>
      <c r="G60" s="27"/>
      <c r="H60" s="27"/>
      <c r="I60" s="27"/>
    </row>
    <row r="61" customFormat="false" ht="15" hidden="false" customHeight="false" outlineLevel="0" collapsed="false">
      <c r="A61" s="13" t="s">
        <v>560</v>
      </c>
      <c r="B61" s="13" t="s">
        <v>249</v>
      </c>
      <c r="C61" s="16" t="s">
        <v>30</v>
      </c>
      <c r="D61" s="13" t="s">
        <v>563</v>
      </c>
      <c r="E61" s="27"/>
      <c r="F61" s="27"/>
      <c r="G61" s="27"/>
      <c r="H61" s="27"/>
      <c r="I61" s="27"/>
    </row>
    <row r="62" customFormat="false" ht="15" hidden="false" customHeight="false" outlineLevel="0" collapsed="false">
      <c r="A62" s="15" t="s">
        <v>560</v>
      </c>
      <c r="B62" s="15" t="s">
        <v>255</v>
      </c>
      <c r="C62" s="16" t="s">
        <v>30</v>
      </c>
      <c r="D62" s="15" t="s">
        <v>563</v>
      </c>
      <c r="E62" s="27"/>
      <c r="F62" s="27"/>
      <c r="G62" s="27"/>
      <c r="H62" s="27"/>
      <c r="I62" s="27"/>
    </row>
    <row r="63" customFormat="false" ht="15" hidden="false" customHeight="false" outlineLevel="0" collapsed="false">
      <c r="A63" s="13" t="s">
        <v>560</v>
      </c>
      <c r="B63" s="13" t="s">
        <v>260</v>
      </c>
      <c r="C63" s="16" t="s">
        <v>30</v>
      </c>
      <c r="D63" s="13" t="s">
        <v>563</v>
      </c>
      <c r="E63" s="27"/>
      <c r="F63" s="27"/>
      <c r="G63" s="27"/>
      <c r="H63" s="27"/>
      <c r="I63" s="27"/>
    </row>
    <row r="64" customFormat="false" ht="15" hidden="false" customHeight="false" outlineLevel="0" collapsed="false">
      <c r="A64" s="15" t="s">
        <v>560</v>
      </c>
      <c r="B64" s="15" t="s">
        <v>264</v>
      </c>
      <c r="C64" s="16" t="s">
        <v>30</v>
      </c>
      <c r="D64" s="15" t="s">
        <v>563</v>
      </c>
      <c r="E64" s="27"/>
      <c r="F64" s="27"/>
      <c r="G64" s="27"/>
      <c r="H64" s="27"/>
      <c r="I64" s="27"/>
    </row>
    <row r="65" customFormat="false" ht="15" hidden="false" customHeight="false" outlineLevel="0" collapsed="false">
      <c r="A65" s="13" t="s">
        <v>560</v>
      </c>
      <c r="B65" s="13" t="s">
        <v>266</v>
      </c>
      <c r="C65" s="16" t="s">
        <v>30</v>
      </c>
      <c r="D65" s="13" t="s">
        <v>563</v>
      </c>
      <c r="E65" s="27"/>
      <c r="F65" s="27"/>
      <c r="G65" s="27"/>
      <c r="H65" s="27"/>
      <c r="I65" s="27"/>
    </row>
    <row r="66" customFormat="false" ht="15" hidden="false" customHeight="false" outlineLevel="0" collapsed="false">
      <c r="A66" s="15" t="s">
        <v>560</v>
      </c>
      <c r="B66" s="15" t="s">
        <v>268</v>
      </c>
      <c r="C66" s="16" t="s">
        <v>30</v>
      </c>
      <c r="D66" s="15" t="s">
        <v>563</v>
      </c>
      <c r="E66" s="27"/>
      <c r="F66" s="27"/>
      <c r="G66" s="27"/>
      <c r="H66" s="27"/>
      <c r="I66" s="27"/>
    </row>
    <row r="67" customFormat="false" ht="15" hidden="false" customHeight="false" outlineLevel="0" collapsed="false">
      <c r="A67" s="13" t="s">
        <v>560</v>
      </c>
      <c r="B67" s="13" t="s">
        <v>271</v>
      </c>
      <c r="C67" s="16" t="s">
        <v>30</v>
      </c>
      <c r="D67" s="13" t="s">
        <v>563</v>
      </c>
      <c r="E67" s="27"/>
      <c r="F67" s="27"/>
      <c r="G67" s="27"/>
      <c r="H67" s="27"/>
      <c r="I67" s="27"/>
    </row>
    <row r="68" customFormat="false" ht="15" hidden="false" customHeight="false" outlineLevel="0" collapsed="false">
      <c r="A68" s="15" t="s">
        <v>560</v>
      </c>
      <c r="B68" s="15" t="s">
        <v>275</v>
      </c>
      <c r="C68" s="16" t="s">
        <v>30</v>
      </c>
      <c r="D68" s="15" t="s">
        <v>563</v>
      </c>
      <c r="E68" s="27"/>
      <c r="F68" s="27"/>
      <c r="G68" s="27"/>
      <c r="H68" s="27"/>
      <c r="I68" s="27"/>
    </row>
    <row r="69" customFormat="false" ht="15" hidden="false" customHeight="false" outlineLevel="0" collapsed="false">
      <c r="A69" s="13" t="s">
        <v>560</v>
      </c>
      <c r="B69" s="13" t="s">
        <v>279</v>
      </c>
      <c r="C69" s="16" t="s">
        <v>30</v>
      </c>
      <c r="D69" s="13" t="s">
        <v>563</v>
      </c>
      <c r="E69" s="27"/>
      <c r="F69" s="27"/>
      <c r="G69" s="27"/>
      <c r="H69" s="27"/>
      <c r="I69" s="27"/>
    </row>
    <row r="70" customFormat="false" ht="15" hidden="false" customHeight="false" outlineLevel="0" collapsed="false">
      <c r="A70" s="15" t="s">
        <v>560</v>
      </c>
      <c r="B70" s="15" t="s">
        <v>283</v>
      </c>
      <c r="C70" s="16" t="s">
        <v>30</v>
      </c>
      <c r="D70" s="15" t="s">
        <v>563</v>
      </c>
      <c r="E70" s="27"/>
      <c r="F70" s="27"/>
      <c r="G70" s="27"/>
      <c r="H70" s="27"/>
      <c r="I70" s="27"/>
    </row>
    <row r="71" customFormat="false" ht="15" hidden="false" customHeight="false" outlineLevel="0" collapsed="false">
      <c r="A71" s="13" t="s">
        <v>560</v>
      </c>
      <c r="B71" s="13" t="s">
        <v>287</v>
      </c>
      <c r="C71" s="16" t="s">
        <v>30</v>
      </c>
      <c r="D71" s="13" t="s">
        <v>563</v>
      </c>
      <c r="E71" s="27"/>
      <c r="F71" s="27"/>
      <c r="G71" s="27"/>
      <c r="H71" s="27"/>
      <c r="I71" s="27"/>
    </row>
    <row r="72" customFormat="false" ht="15" hidden="false" customHeight="false" outlineLevel="0" collapsed="false">
      <c r="A72" s="15" t="s">
        <v>560</v>
      </c>
      <c r="B72" s="15" t="s">
        <v>292</v>
      </c>
      <c r="C72" s="16" t="s">
        <v>30</v>
      </c>
      <c r="D72" s="15" t="s">
        <v>563</v>
      </c>
      <c r="E72" s="27"/>
      <c r="F72" s="27"/>
      <c r="G72" s="27"/>
      <c r="H72" s="27"/>
      <c r="I72" s="27"/>
    </row>
    <row r="73" customFormat="false" ht="15" hidden="false" customHeight="false" outlineLevel="0" collapsed="false">
      <c r="A73" s="13" t="s">
        <v>560</v>
      </c>
      <c r="B73" s="13" t="s">
        <v>296</v>
      </c>
      <c r="C73" s="16" t="s">
        <v>30</v>
      </c>
      <c r="D73" s="13" t="s">
        <v>563</v>
      </c>
      <c r="E73" s="27"/>
      <c r="F73" s="27"/>
      <c r="G73" s="27"/>
      <c r="H73" s="27"/>
      <c r="I73" s="27"/>
    </row>
    <row r="74" customFormat="false" ht="15" hidden="false" customHeight="false" outlineLevel="0" collapsed="false">
      <c r="A74" s="15" t="s">
        <v>560</v>
      </c>
      <c r="B74" s="15" t="s">
        <v>304</v>
      </c>
      <c r="C74" s="16" t="s">
        <v>30</v>
      </c>
      <c r="D74" s="15" t="s">
        <v>563</v>
      </c>
      <c r="E74" s="27"/>
      <c r="F74" s="27"/>
      <c r="G74" s="27"/>
      <c r="H74" s="27"/>
      <c r="I74" s="27"/>
    </row>
    <row r="75" customFormat="false" ht="15" hidden="false" customHeight="false" outlineLevel="0" collapsed="false">
      <c r="A75" s="13" t="s">
        <v>560</v>
      </c>
      <c r="B75" s="13" t="s">
        <v>308</v>
      </c>
      <c r="C75" s="16" t="s">
        <v>30</v>
      </c>
      <c r="D75" s="13" t="s">
        <v>563</v>
      </c>
      <c r="E75" s="27"/>
      <c r="F75" s="27"/>
      <c r="G75" s="27"/>
      <c r="H75" s="27"/>
      <c r="I75" s="27"/>
    </row>
    <row r="76" customFormat="false" ht="15" hidden="false" customHeight="false" outlineLevel="0" collapsed="false">
      <c r="A76" s="15" t="s">
        <v>560</v>
      </c>
      <c r="B76" s="15" t="s">
        <v>312</v>
      </c>
      <c r="C76" s="16" t="s">
        <v>30</v>
      </c>
      <c r="D76" s="15" t="s">
        <v>563</v>
      </c>
      <c r="E76" s="27"/>
      <c r="F76" s="27"/>
      <c r="G76" s="27"/>
      <c r="H76" s="27"/>
      <c r="I76" s="27"/>
    </row>
    <row r="77" customFormat="false" ht="15" hidden="false" customHeight="false" outlineLevel="0" collapsed="false">
      <c r="A77" s="13" t="s">
        <v>560</v>
      </c>
      <c r="B77" s="13" t="s">
        <v>316</v>
      </c>
      <c r="C77" s="16" t="s">
        <v>30</v>
      </c>
      <c r="D77" s="13" t="s">
        <v>563</v>
      </c>
      <c r="E77" s="27"/>
      <c r="F77" s="27"/>
      <c r="G77" s="27"/>
      <c r="H77" s="27"/>
      <c r="I77" s="27"/>
    </row>
    <row r="78" customFormat="false" ht="15" hidden="false" customHeight="false" outlineLevel="0" collapsed="false">
      <c r="A78" s="15" t="s">
        <v>560</v>
      </c>
      <c r="B78" s="15" t="s">
        <v>320</v>
      </c>
      <c r="C78" s="16" t="s">
        <v>30</v>
      </c>
      <c r="D78" s="15" t="s">
        <v>563</v>
      </c>
      <c r="E78" s="27"/>
      <c r="F78" s="27"/>
      <c r="G78" s="27"/>
      <c r="H78" s="27"/>
      <c r="I78" s="27"/>
    </row>
    <row r="79" customFormat="false" ht="15" hidden="false" customHeight="false" outlineLevel="0" collapsed="false">
      <c r="A79" s="13" t="s">
        <v>560</v>
      </c>
      <c r="B79" s="13" t="s">
        <v>323</v>
      </c>
      <c r="C79" s="16" t="s">
        <v>30</v>
      </c>
      <c r="D79" s="13" t="s">
        <v>563</v>
      </c>
      <c r="E79" s="27"/>
      <c r="F79" s="27"/>
      <c r="G79" s="27"/>
      <c r="H79" s="27"/>
      <c r="I79" s="27"/>
    </row>
    <row r="80" customFormat="false" ht="15" hidden="false" customHeight="false" outlineLevel="0" collapsed="false">
      <c r="A80" s="15" t="s">
        <v>560</v>
      </c>
      <c r="B80" s="15" t="s">
        <v>327</v>
      </c>
      <c r="C80" s="16" t="s">
        <v>30</v>
      </c>
      <c r="D80" s="15" t="s">
        <v>563</v>
      </c>
      <c r="E80" s="27"/>
      <c r="F80" s="27"/>
      <c r="G80" s="27"/>
      <c r="H80" s="27"/>
      <c r="I80" s="27"/>
    </row>
    <row r="81" customFormat="false" ht="15" hidden="false" customHeight="false" outlineLevel="0" collapsed="false">
      <c r="A81" s="13" t="s">
        <v>560</v>
      </c>
      <c r="B81" s="13" t="s">
        <v>330</v>
      </c>
      <c r="C81" s="16" t="s">
        <v>30</v>
      </c>
      <c r="D81" s="13" t="s">
        <v>563</v>
      </c>
      <c r="E81" s="27"/>
      <c r="F81" s="27"/>
      <c r="G81" s="27"/>
      <c r="H81" s="27"/>
      <c r="I81" s="27"/>
    </row>
    <row r="82" customFormat="false" ht="15" hidden="false" customHeight="false" outlineLevel="0" collapsed="false">
      <c r="A82" s="15" t="s">
        <v>560</v>
      </c>
      <c r="B82" s="15" t="s">
        <v>334</v>
      </c>
      <c r="C82" s="16" t="s">
        <v>30</v>
      </c>
      <c r="D82" s="15" t="s">
        <v>563</v>
      </c>
      <c r="E82" s="27"/>
      <c r="F82" s="27"/>
      <c r="G82" s="27"/>
      <c r="H82" s="27"/>
      <c r="I82" s="27"/>
    </row>
    <row r="83" customFormat="false" ht="15" hidden="false" customHeight="false" outlineLevel="0" collapsed="false">
      <c r="A83" s="13" t="s">
        <v>560</v>
      </c>
      <c r="B83" s="13" t="s">
        <v>338</v>
      </c>
      <c r="C83" s="16" t="s">
        <v>30</v>
      </c>
      <c r="D83" s="13" t="s">
        <v>563</v>
      </c>
      <c r="E83" s="27"/>
      <c r="F83" s="27"/>
      <c r="G83" s="27"/>
      <c r="H83" s="27"/>
      <c r="I83" s="27"/>
    </row>
    <row r="84" customFormat="false" ht="15" hidden="false" customHeight="false" outlineLevel="0" collapsed="false">
      <c r="A84" s="15" t="s">
        <v>560</v>
      </c>
      <c r="B84" s="15" t="s">
        <v>342</v>
      </c>
      <c r="C84" s="16" t="s">
        <v>30</v>
      </c>
      <c r="D84" s="15" t="s">
        <v>563</v>
      </c>
      <c r="E84" s="27"/>
      <c r="F84" s="27"/>
      <c r="G84" s="27"/>
      <c r="H84" s="27"/>
      <c r="I84" s="27"/>
    </row>
    <row r="85" customFormat="false" ht="15" hidden="false" customHeight="false" outlineLevel="0" collapsed="false">
      <c r="A85" s="13" t="s">
        <v>560</v>
      </c>
      <c r="B85" s="13" t="s">
        <v>346</v>
      </c>
      <c r="C85" s="16" t="s">
        <v>30</v>
      </c>
      <c r="D85" s="13" t="s">
        <v>563</v>
      </c>
      <c r="E85" s="27"/>
      <c r="F85" s="27"/>
      <c r="G85" s="27"/>
      <c r="H85" s="27"/>
      <c r="I85" s="27"/>
    </row>
    <row r="86" customFormat="false" ht="15" hidden="false" customHeight="false" outlineLevel="0" collapsed="false">
      <c r="A86" s="15" t="s">
        <v>560</v>
      </c>
      <c r="B86" s="15" t="s">
        <v>350</v>
      </c>
      <c r="C86" s="16" t="s">
        <v>30</v>
      </c>
      <c r="D86" s="15" t="s">
        <v>563</v>
      </c>
      <c r="E86" s="27"/>
      <c r="F86" s="27"/>
      <c r="G86" s="27"/>
      <c r="H86" s="27"/>
      <c r="I86" s="27"/>
    </row>
    <row r="87" customFormat="false" ht="15" hidden="false" customHeight="false" outlineLevel="0" collapsed="false">
      <c r="A87" s="13" t="s">
        <v>560</v>
      </c>
      <c r="B87" s="13" t="s">
        <v>353</v>
      </c>
      <c r="C87" s="16" t="s">
        <v>30</v>
      </c>
      <c r="D87" s="13" t="s">
        <v>563</v>
      </c>
      <c r="E87" s="27"/>
      <c r="F87" s="27"/>
      <c r="G87" s="27"/>
      <c r="H87" s="27"/>
      <c r="I87" s="27"/>
    </row>
    <row r="88" customFormat="false" ht="15" hidden="false" customHeight="false" outlineLevel="0" collapsed="false">
      <c r="A88" s="15" t="s">
        <v>560</v>
      </c>
      <c r="B88" s="15" t="s">
        <v>379</v>
      </c>
      <c r="C88" s="16" t="s">
        <v>30</v>
      </c>
      <c r="D88" s="15" t="s">
        <v>563</v>
      </c>
      <c r="E88" s="27"/>
      <c r="F88" s="27"/>
      <c r="G88" s="27"/>
      <c r="H88" s="27"/>
      <c r="I88" s="27"/>
    </row>
    <row r="89" customFormat="false" ht="15" hidden="false" customHeight="false" outlineLevel="0" collapsed="false">
      <c r="A89" s="13" t="s">
        <v>560</v>
      </c>
      <c r="B89" s="13" t="s">
        <v>388</v>
      </c>
      <c r="C89" s="16" t="s">
        <v>30</v>
      </c>
      <c r="D89" s="13" t="s">
        <v>563</v>
      </c>
      <c r="E89" s="27"/>
      <c r="F89" s="27"/>
      <c r="G89" s="27"/>
      <c r="H89" s="27"/>
      <c r="I89" s="27"/>
    </row>
    <row r="90" customFormat="false" ht="15" hidden="false" customHeight="false" outlineLevel="0" collapsed="false">
      <c r="A90" s="15" t="s">
        <v>560</v>
      </c>
      <c r="B90" s="15" t="s">
        <v>392</v>
      </c>
      <c r="C90" s="16" t="s">
        <v>30</v>
      </c>
      <c r="D90" s="15" t="s">
        <v>563</v>
      </c>
      <c r="E90" s="27"/>
      <c r="F90" s="27"/>
      <c r="G90" s="27"/>
      <c r="H90" s="27"/>
      <c r="I90" s="27"/>
    </row>
    <row r="91" customFormat="false" ht="15" hidden="false" customHeight="false" outlineLevel="0" collapsed="false">
      <c r="A91" s="13" t="s">
        <v>560</v>
      </c>
      <c r="B91" s="13" t="s">
        <v>396</v>
      </c>
      <c r="C91" s="16" t="s">
        <v>30</v>
      </c>
      <c r="D91" s="13" t="s">
        <v>563</v>
      </c>
      <c r="E91" s="27"/>
      <c r="F91" s="27"/>
      <c r="G91" s="27"/>
      <c r="H91" s="27"/>
      <c r="I91" s="27"/>
    </row>
    <row r="92" customFormat="false" ht="15" hidden="false" customHeight="false" outlineLevel="0" collapsed="false">
      <c r="A92" s="15" t="s">
        <v>560</v>
      </c>
      <c r="B92" s="15" t="s">
        <v>398</v>
      </c>
      <c r="C92" s="21" t="s">
        <v>33</v>
      </c>
      <c r="D92" s="15" t="s">
        <v>564</v>
      </c>
      <c r="E92" s="27"/>
      <c r="F92" s="27"/>
      <c r="G92" s="27"/>
      <c r="H92" s="27"/>
      <c r="I92" s="27"/>
    </row>
    <row r="93" customFormat="false" ht="15" hidden="false" customHeight="false" outlineLevel="0" collapsed="false">
      <c r="A93" s="13" t="s">
        <v>560</v>
      </c>
      <c r="B93" s="13" t="s">
        <v>402</v>
      </c>
      <c r="C93" s="21" t="s">
        <v>33</v>
      </c>
      <c r="D93" s="13" t="s">
        <v>564</v>
      </c>
      <c r="E93" s="27"/>
      <c r="F93" s="27"/>
      <c r="G93" s="27"/>
      <c r="H93" s="27"/>
      <c r="I93" s="27"/>
    </row>
    <row r="94" customFormat="false" ht="15" hidden="false" customHeight="false" outlineLevel="0" collapsed="false">
      <c r="A94" s="15" t="s">
        <v>560</v>
      </c>
      <c r="B94" s="15" t="s">
        <v>405</v>
      </c>
      <c r="C94" s="21" t="s">
        <v>33</v>
      </c>
      <c r="D94" s="15" t="s">
        <v>564</v>
      </c>
      <c r="E94" s="27"/>
      <c r="F94" s="27"/>
      <c r="G94" s="27"/>
      <c r="H94" s="27"/>
      <c r="I94" s="27"/>
    </row>
  </sheetData>
  <autoFilter ref="A4:I9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2026-05-29T17:49:58Z</dcterms:created>
  <dc:creator>openpyxl</dc:creator>
  <dc:description/>
  <dc:language>en-US</dc:language>
  <cp:lastModifiedBy/>
  <dcterms:modified xsi:type="dcterms:W3CDTF">2026-05-29T17:49:58Z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